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emminTech\Downloads\OneDrive\Desktop\DATABASE FDSU SERVICE UNIVERSEL\DOCS\NOMENCLATURE ET CODIFICATION\"/>
    </mc:Choice>
  </mc:AlternateContent>
  <bookViews>
    <workbookView xWindow="0" yWindow="0" windowWidth="16450" windowHeight="6000" activeTab="1"/>
  </bookViews>
  <sheets>
    <sheet name="ZONE ND" sheetId="2" r:id="rId1"/>
    <sheet name="ZONE SD" sheetId="4" r:id="rId2"/>
    <sheet name="ZONE CE " sheetId="5" r:id="rId3"/>
    <sheet name="ZONE OT" sheetId="3" r:id="rId4"/>
    <sheet name="ZONE E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6" l="1"/>
  <c r="I41" i="6"/>
  <c r="I28" i="6"/>
  <c r="I12" i="6"/>
  <c r="I4" i="6"/>
  <c r="I65" i="3"/>
  <c r="I56" i="3"/>
  <c r="I48" i="3"/>
  <c r="I34" i="3"/>
  <c r="I55" i="5"/>
  <c r="I45" i="5"/>
  <c r="I36" i="5"/>
  <c r="I24" i="5"/>
  <c r="I12" i="5"/>
  <c r="I4" i="5"/>
  <c r="I49" i="4"/>
  <c r="I41" i="4"/>
  <c r="I32" i="4"/>
  <c r="I14" i="4"/>
  <c r="I4" i="4"/>
  <c r="I70" i="2"/>
  <c r="I54" i="2"/>
  <c r="I46" i="2"/>
  <c r="I38" i="2"/>
  <c r="I32" i="2"/>
  <c r="I23" i="2"/>
  <c r="I13" i="2"/>
  <c r="I4" i="2"/>
</calcChain>
</file>

<file path=xl/sharedStrings.xml><?xml version="1.0" encoding="utf-8"?>
<sst xmlns="http://schemas.openxmlformats.org/spreadsheetml/2006/main" count="432" uniqueCount="315">
  <si>
    <t>ZONE ND</t>
  </si>
  <si>
    <t>N°</t>
  </si>
  <si>
    <t>Province</t>
  </si>
  <si>
    <t>Town/Territory</t>
  </si>
  <si>
    <t>CODE</t>
  </si>
  <si>
    <t>Nombre des sites GSM</t>
  </si>
  <si>
    <t>01</t>
  </si>
  <si>
    <t>BAS-UELE</t>
  </si>
  <si>
    <t>Buta Ville</t>
  </si>
  <si>
    <t>001</t>
  </si>
  <si>
    <t>Aketi</t>
  </si>
  <si>
    <t>002</t>
  </si>
  <si>
    <t>Ango</t>
  </si>
  <si>
    <t>003</t>
  </si>
  <si>
    <t>Bambesa</t>
  </si>
  <si>
    <t>004</t>
  </si>
  <si>
    <t>Bondo</t>
  </si>
  <si>
    <t>005</t>
  </si>
  <si>
    <t>Buta Territoire</t>
  </si>
  <si>
    <t>006</t>
  </si>
  <si>
    <t>Poko</t>
  </si>
  <si>
    <t>007</t>
  </si>
  <si>
    <t>02</t>
  </si>
  <si>
    <t>EQUATEUR</t>
  </si>
  <si>
    <t>Mbandaka</t>
  </si>
  <si>
    <t>Basankusu</t>
  </si>
  <si>
    <t>Bikoro</t>
  </si>
  <si>
    <t>Bolomba</t>
  </si>
  <si>
    <t>Bomongo</t>
  </si>
  <si>
    <t>Ingende</t>
  </si>
  <si>
    <t>Lukolela</t>
  </si>
  <si>
    <t>Mankanza</t>
  </si>
  <si>
    <t>008</t>
  </si>
  <si>
    <t>05</t>
  </si>
  <si>
    <t>HAUT-UELE</t>
  </si>
  <si>
    <t>Isiro</t>
  </si>
  <si>
    <t>Dungu</t>
  </si>
  <si>
    <t>Faradje</t>
  </si>
  <si>
    <t>Niangara</t>
  </si>
  <si>
    <t>Rungu</t>
  </si>
  <si>
    <t>Wamba</t>
  </si>
  <si>
    <t>Watsa</t>
  </si>
  <si>
    <t>18</t>
  </si>
  <si>
    <t>MONGALA</t>
  </si>
  <si>
    <t>Bumba</t>
  </si>
  <si>
    <t>Bongandanga</t>
  </si>
  <si>
    <t>Lisala Territoire</t>
  </si>
  <si>
    <t>Lisala-Ville</t>
  </si>
  <si>
    <t>20</t>
  </si>
  <si>
    <t>NORD-UBANGI</t>
  </si>
  <si>
    <t>Gbadolite Ville</t>
  </si>
  <si>
    <t>Bosobolo</t>
  </si>
  <si>
    <t>Businga</t>
  </si>
  <si>
    <t>Mobayi-Mbongo</t>
  </si>
  <si>
    <t>Yakoma</t>
  </si>
  <si>
    <t>Karawa</t>
  </si>
  <si>
    <t>23</t>
  </si>
  <si>
    <t>SUD-UBANGI</t>
  </si>
  <si>
    <t>Budjala</t>
  </si>
  <si>
    <t>Gemena Territoire</t>
  </si>
  <si>
    <t>Gemena Ville</t>
  </si>
  <si>
    <t>Kungu</t>
  </si>
  <si>
    <t>Libenge</t>
  </si>
  <si>
    <t>Zongo</t>
  </si>
  <si>
    <t>25</t>
  </si>
  <si>
    <t>TSHOPO</t>
  </si>
  <si>
    <t>Kisangani (Kisangani)</t>
  </si>
  <si>
    <t xml:space="preserve"> Kabondo (Kisangani)</t>
  </si>
  <si>
    <t xml:space="preserve"> Lubunga  (Kisangani)</t>
  </si>
  <si>
    <t xml:space="preserve"> Makiso (Kisangani)</t>
  </si>
  <si>
    <t xml:space="preserve"> Mangobo (Kisangani)</t>
  </si>
  <si>
    <t xml:space="preserve"> Tshopo (Kisangani)</t>
  </si>
  <si>
    <t xml:space="preserve">Lubuya Bera </t>
  </si>
  <si>
    <t>Bafwasende</t>
  </si>
  <si>
    <t>Banalia</t>
  </si>
  <si>
    <t>009</t>
  </si>
  <si>
    <t>Basoko</t>
  </si>
  <si>
    <t>010</t>
  </si>
  <si>
    <t>Isangi</t>
  </si>
  <si>
    <t>011</t>
  </si>
  <si>
    <t>Opala</t>
  </si>
  <si>
    <t>012</t>
  </si>
  <si>
    <t>Ubundu</t>
  </si>
  <si>
    <t>013</t>
  </si>
  <si>
    <t>Yahuma</t>
  </si>
  <si>
    <t>014</t>
  </si>
  <si>
    <t>26</t>
  </si>
  <si>
    <t>TSHUAPA</t>
  </si>
  <si>
    <t>Befale</t>
  </si>
  <si>
    <t>Boende Territoire</t>
  </si>
  <si>
    <t>Boende Ville</t>
  </si>
  <si>
    <t>Bokungu</t>
  </si>
  <si>
    <t>Djolu</t>
  </si>
  <si>
    <t>Ikela</t>
  </si>
  <si>
    <t>Monkoto</t>
  </si>
  <si>
    <t>Zone SD</t>
  </si>
  <si>
    <t>TANGANYIKA</t>
  </si>
  <si>
    <t>Kalemie Ville</t>
  </si>
  <si>
    <t>Kalemie Territoire</t>
  </si>
  <si>
    <t>Kabalo</t>
  </si>
  <si>
    <t>Kongolo</t>
  </si>
  <si>
    <t>Manono</t>
  </si>
  <si>
    <t>Moba</t>
  </si>
  <si>
    <t>Nyunzu</t>
  </si>
  <si>
    <t>Ankoro</t>
  </si>
  <si>
    <t>03</t>
  </si>
  <si>
    <t xml:space="preserve">HAUT –KATANGA </t>
  </si>
  <si>
    <t>LUBUMBASHI</t>
  </si>
  <si>
    <t>ANNEXE</t>
  </si>
  <si>
    <t>KAMALONDO</t>
  </si>
  <si>
    <t>KAMPEMBA</t>
  </si>
  <si>
    <t>KATUBA</t>
  </si>
  <si>
    <t>KENYA</t>
  </si>
  <si>
    <t>RUASHI</t>
  </si>
  <si>
    <t>Kasumbalesa</t>
  </si>
  <si>
    <t>Likasi</t>
  </si>
  <si>
    <t>Kambove</t>
  </si>
  <si>
    <t>Kasenga</t>
  </si>
  <si>
    <t>Kipushi</t>
  </si>
  <si>
    <t>Mitwaba</t>
  </si>
  <si>
    <t>Pweto</t>
  </si>
  <si>
    <t>Sakania</t>
  </si>
  <si>
    <t>LUALABA</t>
  </si>
  <si>
    <t>Kolwezi</t>
  </si>
  <si>
    <t>Lubudi</t>
  </si>
  <si>
    <t>Dilolo</t>
  </si>
  <si>
    <t>Kapanga</t>
  </si>
  <si>
    <t>Mutshatsha</t>
  </si>
  <si>
    <t>Sandoa</t>
  </si>
  <si>
    <t xml:space="preserve">Kasaji </t>
  </si>
  <si>
    <t>04</t>
  </si>
  <si>
    <t>HAUT-LOMAMI</t>
  </si>
  <si>
    <t>Kamina Ville</t>
  </si>
  <si>
    <t>Kamina</t>
  </si>
  <si>
    <t>Bukama</t>
  </si>
  <si>
    <t>Kabongo</t>
  </si>
  <si>
    <t>Kaniama</t>
  </si>
  <si>
    <t>Malemba-Nkulu</t>
  </si>
  <si>
    <t>Total Zone</t>
  </si>
  <si>
    <t>Zone CE</t>
  </si>
  <si>
    <t>07</t>
  </si>
  <si>
    <t>KASAI</t>
  </si>
  <si>
    <t>Tshikapa Ville</t>
  </si>
  <si>
    <t>Kamonia</t>
  </si>
  <si>
    <t>Dekese</t>
  </si>
  <si>
    <t>Ilebo</t>
  </si>
  <si>
    <t>Luebo</t>
  </si>
  <si>
    <t>Mweka</t>
  </si>
  <si>
    <t>08</t>
  </si>
  <si>
    <t>KASAI CENTRAL</t>
  </si>
  <si>
    <t>Kananga</t>
  </si>
  <si>
    <t>KATOKA</t>
  </si>
  <si>
    <t>LUKONGA</t>
  </si>
  <si>
    <t>NDESHA</t>
  </si>
  <si>
    <t>NGANZA</t>
  </si>
  <si>
    <t xml:space="preserve">Demba </t>
  </si>
  <si>
    <t>Dibaya</t>
  </si>
  <si>
    <t>Dimbelenge</t>
  </si>
  <si>
    <t>Kazumba</t>
  </si>
  <si>
    <t>Luiza</t>
  </si>
  <si>
    <t>09</t>
  </si>
  <si>
    <t>KASAI-ORIENTAL</t>
  </si>
  <si>
    <t>BIPEMBA</t>
  </si>
  <si>
    <t>DIBINDI</t>
  </si>
  <si>
    <t>DIULU</t>
  </si>
  <si>
    <t>KANSHI</t>
  </si>
  <si>
    <t>MUYA</t>
  </si>
  <si>
    <t>Kabeya-Kamwanga</t>
  </si>
  <si>
    <t>Katanda</t>
  </si>
  <si>
    <t>Lupatapata</t>
  </si>
  <si>
    <t>Miabi</t>
  </si>
  <si>
    <t>Tshilenge</t>
  </si>
  <si>
    <t>LOMAMI</t>
  </si>
  <si>
    <t>Kabinda Ville</t>
  </si>
  <si>
    <t>Mwene Ditu</t>
  </si>
  <si>
    <t xml:space="preserve">Kabinda Territoire </t>
  </si>
  <si>
    <t>Kamiji</t>
  </si>
  <si>
    <t>Lubao</t>
  </si>
  <si>
    <t>Luilu</t>
  </si>
  <si>
    <t>Ngandajika</t>
  </si>
  <si>
    <t>SANKURU</t>
  </si>
  <si>
    <t>Katako-Kombe</t>
  </si>
  <si>
    <t>Kole</t>
  </si>
  <si>
    <t>Lodja</t>
  </si>
  <si>
    <t>Lomela</t>
  </si>
  <si>
    <t>Lubefu</t>
  </si>
  <si>
    <t>Lusambo Territoire</t>
  </si>
  <si>
    <t>Lusambo Ville</t>
  </si>
  <si>
    <t>Lumumba Ville</t>
  </si>
  <si>
    <t>ZONE OT</t>
  </si>
  <si>
    <t>10</t>
  </si>
  <si>
    <t>KINSHASA</t>
  </si>
  <si>
    <t>FUNA</t>
  </si>
  <si>
    <t>BANDAL</t>
  </si>
  <si>
    <t>BUMBU</t>
  </si>
  <si>
    <t>KALAMU</t>
  </si>
  <si>
    <t>KASA-VUBU</t>
  </si>
  <si>
    <t>MAKALA</t>
  </si>
  <si>
    <t>NGIRI-NGIRI</t>
  </si>
  <si>
    <t>SELEMBAO</t>
  </si>
  <si>
    <t>LUKUNGA</t>
  </si>
  <si>
    <t>BARUMBU</t>
  </si>
  <si>
    <t>GOMBE</t>
  </si>
  <si>
    <t>KINTAMBO</t>
  </si>
  <si>
    <t>LINGWALA</t>
  </si>
  <si>
    <t>MONT-NGAFULA</t>
  </si>
  <si>
    <t>NGALIEMA</t>
  </si>
  <si>
    <t>MONT AMBA</t>
  </si>
  <si>
    <t>KISENSO</t>
  </si>
  <si>
    <t>015</t>
  </si>
  <si>
    <t>LEMBA</t>
  </si>
  <si>
    <t>016</t>
  </si>
  <si>
    <t>LIMETE</t>
  </si>
  <si>
    <t>017</t>
  </si>
  <si>
    <t>MATETE</t>
  </si>
  <si>
    <t>018</t>
  </si>
  <si>
    <t>NGABA</t>
  </si>
  <si>
    <t>019</t>
  </si>
  <si>
    <t>TSHANGU</t>
  </si>
  <si>
    <t>KIMBANSEKE</t>
  </si>
  <si>
    <t>020</t>
  </si>
  <si>
    <t>MALUKU</t>
  </si>
  <si>
    <t>021</t>
  </si>
  <si>
    <t>MASINA</t>
  </si>
  <si>
    <t>022</t>
  </si>
  <si>
    <t>N’DJILI</t>
  </si>
  <si>
    <t>023</t>
  </si>
  <si>
    <t>N’SELE</t>
  </si>
  <si>
    <t>024</t>
  </si>
  <si>
    <t>11</t>
  </si>
  <si>
    <t>KONGO CENTRAL</t>
  </si>
  <si>
    <t>Matadi</t>
  </si>
  <si>
    <t>Boma</t>
  </si>
  <si>
    <t>Kasangulu</t>
  </si>
  <si>
    <t>Kimvula</t>
  </si>
  <si>
    <t>Lukula</t>
  </si>
  <si>
    <t>Luozi</t>
  </si>
  <si>
    <t>Madimba</t>
  </si>
  <si>
    <t>Mbanza-Ngungu</t>
  </si>
  <si>
    <t>Moanda</t>
  </si>
  <si>
    <t>Seke-Banza</t>
  </si>
  <si>
    <t>Songololo</t>
  </si>
  <si>
    <t>Tshela</t>
  </si>
  <si>
    <t>12</t>
  </si>
  <si>
    <t>KWANGO</t>
  </si>
  <si>
    <t>Feshi</t>
  </si>
  <si>
    <t>Kahemba</t>
  </si>
  <si>
    <t>Kasongo-Lunda</t>
  </si>
  <si>
    <t>Kenge ville</t>
  </si>
  <si>
    <t>Kenge Territoire</t>
  </si>
  <si>
    <t>Popokabaka</t>
  </si>
  <si>
    <t>13</t>
  </si>
  <si>
    <t>KWILU</t>
  </si>
  <si>
    <t>Kikwit Ville</t>
  </si>
  <si>
    <t>Bagata</t>
  </si>
  <si>
    <t>Bulungu</t>
  </si>
  <si>
    <t>Gungu</t>
  </si>
  <si>
    <t>Idiofa</t>
  </si>
  <si>
    <t>Masi-Manimba</t>
  </si>
  <si>
    <t>Bandundu Ville</t>
  </si>
  <si>
    <t>16</t>
  </si>
  <si>
    <t>MAI-NDOMBE</t>
  </si>
  <si>
    <t>Bolobo</t>
  </si>
  <si>
    <t>Inongo Ville</t>
  </si>
  <si>
    <t>Inongo Territoire</t>
  </si>
  <si>
    <t>Kiri</t>
  </si>
  <si>
    <t>Kutu</t>
  </si>
  <si>
    <t>Kwamouth</t>
  </si>
  <si>
    <t>Mushie</t>
  </si>
  <si>
    <t>Oshwe</t>
  </si>
  <si>
    <t>Yumbi</t>
  </si>
  <si>
    <t>Zone ET</t>
  </si>
  <si>
    <t>ITURI</t>
  </si>
  <si>
    <t>Bunia Ville</t>
  </si>
  <si>
    <t>Aru</t>
  </si>
  <si>
    <t>Djugu</t>
  </si>
  <si>
    <t>Irumu</t>
  </si>
  <si>
    <t>Mahagi</t>
  </si>
  <si>
    <t>Mambasa</t>
  </si>
  <si>
    <t>NORD-KIVU</t>
  </si>
  <si>
    <t>Goma (Goma)</t>
  </si>
  <si>
    <t>Karisimbi  (Goma)</t>
  </si>
  <si>
    <t>Bulengera (Goma)</t>
  </si>
  <si>
    <t>Kimemi (Goma)</t>
  </si>
  <si>
    <t>Mususa (Goma)</t>
  </si>
  <si>
    <t>Vulumba (Goma)</t>
  </si>
  <si>
    <t>Beni Ville</t>
  </si>
  <si>
    <t>Beni Territoire</t>
  </si>
  <si>
    <t>Butembo Ville</t>
  </si>
  <si>
    <t>Lubero</t>
  </si>
  <si>
    <t>Masisi</t>
  </si>
  <si>
    <t>Nyiragongo</t>
  </si>
  <si>
    <t>Rutshuru</t>
  </si>
  <si>
    <t>Walikale</t>
  </si>
  <si>
    <t>SUD-KIVU</t>
  </si>
  <si>
    <t>Bagira (Bukavu)</t>
  </si>
  <si>
    <t>Ibanda (Bukavu)</t>
  </si>
  <si>
    <t>Kadutu (Bukavu)</t>
  </si>
  <si>
    <t>Fizi</t>
  </si>
  <si>
    <t>Idjwi</t>
  </si>
  <si>
    <t>Kabare</t>
  </si>
  <si>
    <t>Kalehe</t>
  </si>
  <si>
    <t>Mwenga</t>
  </si>
  <si>
    <t>Shabunda</t>
  </si>
  <si>
    <t>Uvira</t>
  </si>
  <si>
    <t>Walungu</t>
  </si>
  <si>
    <t>MANIEMA</t>
  </si>
  <si>
    <t>Kindu</t>
  </si>
  <si>
    <t>Kabambare</t>
  </si>
  <si>
    <t>Kailo</t>
  </si>
  <si>
    <t>Kasongo</t>
  </si>
  <si>
    <t>Kibombo</t>
  </si>
  <si>
    <t>Lubutu</t>
  </si>
  <si>
    <t>Pangi</t>
  </si>
  <si>
    <t>Punia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</si>
</sst>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_(* #,##0.00_);_(* \(#,##0.00\);_(* &quot;-&quot;??_);_(@_)"/>
    <numFmt numFmtId="168" formatCode="_-* #,##0\ _€_-;\-* #,##0\ _€_-;_-* &quot;-&quot;??\ _€_-;_-@_-"/>
    <numFmt numFmtId="169" formatCode="00"/>
    <numFmt numFmtId="170" formatCode="000"/>
  </numFmts>
  <fonts count="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Arial Narrow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168" fontId="1" fillId="3" borderId="1" xfId="1" applyNumberFormat="1" applyFont="1" applyFill="1" applyBorder="1" applyAlignment="1">
      <alignment horizontal="center" vertical="top" wrapText="1"/>
    </xf>
    <xf numFmtId="168" fontId="1" fillId="3" borderId="2" xfId="1" applyNumberFormat="1" applyFont="1" applyFill="1" applyBorder="1" applyAlignment="1">
      <alignment horizontal="center" vertical="top" wrapText="1"/>
    </xf>
    <xf numFmtId="168" fontId="1" fillId="3" borderId="3" xfId="1" applyNumberFormat="1" applyFont="1" applyFill="1" applyBorder="1" applyAlignment="1">
      <alignment horizontal="center" vertical="top" wrapText="1"/>
    </xf>
    <xf numFmtId="168" fontId="1" fillId="2" borderId="0" xfId="1" applyNumberFormat="1" applyFont="1" applyFill="1" applyBorder="1" applyAlignment="1">
      <alignment horizontal="center" vertical="top" wrapText="1"/>
    </xf>
    <xf numFmtId="168" fontId="1" fillId="0" borderId="0" xfId="1" applyNumberFormat="1" applyFont="1" applyFill="1" applyBorder="1" applyAlignment="1">
      <alignment horizontal="center" vertical="top" wrapText="1"/>
    </xf>
    <xf numFmtId="169" fontId="3" fillId="5" borderId="4" xfId="1" applyNumberFormat="1" applyFont="1" applyFill="1" applyBorder="1" applyAlignment="1">
      <alignment horizontal="right" vertical="top"/>
    </xf>
    <xf numFmtId="0" fontId="3" fillId="5" borderId="5" xfId="1" applyNumberFormat="1" applyFont="1" applyFill="1" applyBorder="1" applyAlignment="1">
      <alignment vertical="top"/>
    </xf>
    <xf numFmtId="0" fontId="0" fillId="5" borderId="6" xfId="1" applyNumberFormat="1" applyFont="1" applyFill="1" applyBorder="1" applyAlignment="1">
      <alignment vertical="top"/>
    </xf>
    <xf numFmtId="0" fontId="0" fillId="0" borderId="5" xfId="0" applyBorder="1"/>
    <xf numFmtId="0" fontId="0" fillId="2" borderId="7" xfId="0" applyFill="1" applyBorder="1"/>
    <xf numFmtId="170" fontId="0" fillId="0" borderId="5" xfId="0" applyNumberFormat="1" applyBorder="1"/>
    <xf numFmtId="0" fontId="0" fillId="0" borderId="7" xfId="0" applyBorder="1"/>
    <xf numFmtId="0" fontId="3" fillId="6" borderId="5" xfId="0" applyFont="1" applyFill="1" applyBorder="1"/>
    <xf numFmtId="169" fontId="0" fillId="0" borderId="8" xfId="0" applyNumberFormat="1" applyBorder="1" applyAlignment="1">
      <alignment horizontal="right"/>
    </xf>
    <xf numFmtId="0" fontId="0" fillId="5" borderId="9" xfId="1" applyNumberFormat="1" applyFont="1" applyFill="1" applyBorder="1" applyAlignment="1">
      <alignment vertical="top"/>
    </xf>
    <xf numFmtId="49" fontId="0" fillId="0" borderId="5" xfId="0" applyNumberFormat="1" applyBorder="1"/>
    <xf numFmtId="49" fontId="0" fillId="2" borderId="0" xfId="0" applyNumberFormat="1" applyFill="1"/>
    <xf numFmtId="170" fontId="0" fillId="0" borderId="10" xfId="0" applyNumberFormat="1" applyBorder="1"/>
    <xf numFmtId="0" fontId="0" fillId="5" borderId="11" xfId="1" applyNumberFormat="1" applyFont="1" applyFill="1" applyBorder="1" applyAlignment="1">
      <alignment vertical="top"/>
    </xf>
    <xf numFmtId="170" fontId="0" fillId="0" borderId="12" xfId="0" applyNumberFormat="1" applyBorder="1"/>
    <xf numFmtId="0" fontId="0" fillId="5" borderId="2" xfId="1" applyNumberFormat="1" applyFont="1" applyFill="1" applyBorder="1" applyAlignment="1">
      <alignment vertical="top"/>
    </xf>
    <xf numFmtId="169" fontId="0" fillId="0" borderId="8" xfId="0" applyNumberFormat="1" applyBorder="1"/>
    <xf numFmtId="170" fontId="0" fillId="0" borderId="0" xfId="0" applyNumberFormat="1"/>
    <xf numFmtId="0" fontId="0" fillId="0" borderId="13" xfId="0" applyBorder="1"/>
    <xf numFmtId="169" fontId="3" fillId="5" borderId="5" xfId="1" applyNumberFormat="1" applyFont="1" applyFill="1" applyBorder="1" applyAlignment="1">
      <alignment horizontal="right" vertical="top"/>
    </xf>
    <xf numFmtId="0" fontId="4" fillId="0" borderId="5" xfId="0" applyFont="1" applyBorder="1" applyAlignment="1">
      <alignment horizontal="left" vertical="center" wrapText="1"/>
    </xf>
    <xf numFmtId="0" fontId="0" fillId="0" borderId="0" xfId="1" applyNumberFormat="1" applyFont="1" applyFill="1" applyBorder="1" applyAlignment="1">
      <alignment vertical="top"/>
    </xf>
    <xf numFmtId="49" fontId="0" fillId="0" borderId="0" xfId="0" applyNumberFormat="1"/>
    <xf numFmtId="0" fontId="3" fillId="5" borderId="6" xfId="1" applyNumberFormat="1" applyFont="1" applyFill="1" applyBorder="1" applyAlignment="1">
      <alignment vertical="top"/>
    </xf>
    <xf numFmtId="168" fontId="3" fillId="0" borderId="0" xfId="1" applyNumberFormat="1" applyFont="1" applyBorder="1" applyAlignment="1">
      <alignment vertical="top"/>
    </xf>
    <xf numFmtId="169" fontId="0" fillId="0" borderId="14" xfId="0" applyNumberFormat="1" applyBorder="1" applyAlignment="1">
      <alignment horizontal="right"/>
    </xf>
    <xf numFmtId="0" fontId="0" fillId="0" borderId="15" xfId="0" applyBorder="1"/>
    <xf numFmtId="49" fontId="0" fillId="2" borderId="15" xfId="0" applyNumberFormat="1" applyFill="1" applyBorder="1"/>
    <xf numFmtId="169" fontId="0" fillId="0" borderId="0" xfId="0" applyNumberFormat="1" applyAlignment="1">
      <alignment horizontal="right"/>
    </xf>
    <xf numFmtId="0" fontId="3" fillId="6" borderId="5" xfId="0" applyFont="1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3" fillId="0" borderId="0" xfId="0" applyFont="1"/>
    <xf numFmtId="0" fontId="3" fillId="5" borderId="11" xfId="1" applyNumberFormat="1" applyFont="1" applyFill="1" applyBorder="1" applyAlignment="1">
      <alignment vertical="top"/>
    </xf>
    <xf numFmtId="0" fontId="3" fillId="7" borderId="5" xfId="1" applyNumberFormat="1" applyFont="1" applyFill="1" applyBorder="1" applyAlignment="1">
      <alignment vertical="top"/>
    </xf>
    <xf numFmtId="0" fontId="0" fillId="0" borderId="10" xfId="0" applyBorder="1"/>
    <xf numFmtId="0" fontId="3" fillId="0" borderId="5" xfId="0" applyFont="1" applyBorder="1"/>
    <xf numFmtId="0" fontId="0" fillId="0" borderId="16" xfId="0" applyBorder="1"/>
    <xf numFmtId="0" fontId="0" fillId="5" borderId="0" xfId="1" applyNumberFormat="1" applyFont="1" applyFill="1" applyBorder="1" applyAlignment="1">
      <alignment vertical="top"/>
    </xf>
    <xf numFmtId="0" fontId="0" fillId="5" borderId="5" xfId="1" applyNumberFormat="1" applyFont="1" applyFill="1" applyBorder="1" applyAlignment="1">
      <alignment vertical="top"/>
    </xf>
    <xf numFmtId="0" fontId="3" fillId="5" borderId="9" xfId="1" applyNumberFormat="1" applyFont="1" applyFill="1" applyBorder="1" applyAlignment="1">
      <alignment vertical="top"/>
    </xf>
    <xf numFmtId="169" fontId="3" fillId="5" borderId="17" xfId="1" applyNumberFormat="1" applyFont="1" applyFill="1" applyBorder="1" applyAlignment="1">
      <alignment horizontal="right" vertical="top"/>
    </xf>
    <xf numFmtId="169" fontId="3" fillId="5" borderId="18" xfId="1" applyNumberFormat="1" applyFont="1" applyFill="1" applyBorder="1" applyAlignment="1">
      <alignment horizontal="right" vertical="top"/>
    </xf>
    <xf numFmtId="0" fontId="0" fillId="5" borderId="19" xfId="1" applyNumberFormat="1" applyFont="1" applyFill="1" applyBorder="1" applyAlignment="1">
      <alignment vertical="top"/>
    </xf>
    <xf numFmtId="49" fontId="0" fillId="0" borderId="20" xfId="0" applyNumberFormat="1" applyBorder="1"/>
    <xf numFmtId="169" fontId="3" fillId="0" borderId="8" xfId="0" applyNumberFormat="1" applyFont="1" applyBorder="1" applyAlignment="1">
      <alignment horizontal="right"/>
    </xf>
    <xf numFmtId="168" fontId="3" fillId="5" borderId="6" xfId="1" applyNumberFormat="1" applyFont="1" applyFill="1" applyBorder="1" applyAlignment="1">
      <alignment vertical="top"/>
    </xf>
    <xf numFmtId="49" fontId="0" fillId="5" borderId="5" xfId="0" applyNumberFormat="1" applyFill="1" applyBorder="1"/>
    <xf numFmtId="49" fontId="0" fillId="2" borderId="5" xfId="0" applyNumberFormat="1" applyFill="1" applyBorder="1"/>
    <xf numFmtId="169" fontId="0" fillId="0" borderId="8" xfId="1" applyNumberFormat="1" applyFont="1" applyBorder="1" applyAlignment="1">
      <alignment horizontal="right" vertical="top"/>
    </xf>
    <xf numFmtId="0" fontId="3" fillId="7" borderId="6" xfId="1" applyNumberFormat="1" applyFont="1" applyFill="1" applyBorder="1" applyAlignment="1">
      <alignment vertical="top"/>
    </xf>
    <xf numFmtId="49" fontId="3" fillId="5" borderId="5" xfId="0" applyNumberFormat="1" applyFont="1" applyFill="1" applyBorder="1"/>
    <xf numFmtId="168" fontId="3" fillId="0" borderId="0" xfId="1" applyNumberFormat="1" applyFont="1" applyFill="1" applyBorder="1" applyAlignment="1">
      <alignment vertical="top"/>
    </xf>
    <xf numFmtId="0" fontId="0" fillId="2" borderId="5" xfId="0" applyFill="1" applyBorder="1"/>
    <xf numFmtId="0" fontId="0" fillId="5" borderId="14" xfId="1" applyNumberFormat="1" applyFont="1" applyFill="1" applyBorder="1" applyAlignment="1">
      <alignment vertical="top"/>
    </xf>
    <xf numFmtId="0" fontId="3" fillId="5" borderId="20" xfId="1" applyNumberFormat="1" applyFont="1" applyFill="1" applyBorder="1" applyAlignment="1">
      <alignment vertical="top"/>
    </xf>
    <xf numFmtId="169" fontId="0" fillId="0" borderId="8" xfId="1" applyNumberFormat="1" applyFont="1" applyFill="1" applyBorder="1" applyAlignment="1">
      <alignment horizontal="right" vertical="top"/>
    </xf>
    <xf numFmtId="168" fontId="3" fillId="5" borderId="5" xfId="1" applyNumberFormat="1" applyFont="1" applyFill="1" applyBorder="1" applyAlignment="1">
      <alignment vertical="top"/>
    </xf>
    <xf numFmtId="0" fontId="0" fillId="2" borderId="0" xfId="1" applyNumberFormat="1" applyFont="1" applyFill="1" applyBorder="1" applyAlignment="1">
      <alignment vertical="top"/>
    </xf>
    <xf numFmtId="0" fontId="0" fillId="0" borderId="5" xfId="1" applyNumberFormat="1" applyFont="1" applyFill="1" applyBorder="1" applyAlignment="1">
      <alignment vertical="top"/>
    </xf>
    <xf numFmtId="169" fontId="0" fillId="0" borderId="14" xfId="1" applyNumberFormat="1" applyFont="1" applyBorder="1" applyAlignment="1">
      <alignment horizontal="right" vertical="top"/>
    </xf>
    <xf numFmtId="169" fontId="0" fillId="0" borderId="0" xfId="0" applyNumberFormat="1"/>
    <xf numFmtId="168" fontId="3" fillId="2" borderId="0" xfId="1" applyNumberFormat="1" applyFont="1" applyFill="1" applyBorder="1" applyAlignment="1">
      <alignment vertical="top"/>
    </xf>
    <xf numFmtId="168" fontId="0" fillId="0" borderId="0" xfId="1" applyNumberFormat="1" applyFont="1" applyBorder="1" applyAlignment="1">
      <alignment vertical="top"/>
    </xf>
    <xf numFmtId="168" fontId="3" fillId="5" borderId="9" xfId="1" applyNumberFormat="1" applyFont="1" applyFill="1" applyBorder="1" applyAlignment="1">
      <alignment vertical="top"/>
    </xf>
    <xf numFmtId="168" fontId="3" fillId="5" borderId="20" xfId="1" applyNumberFormat="1" applyFont="1" applyFill="1" applyBorder="1" applyAlignment="1">
      <alignment vertical="top"/>
    </xf>
    <xf numFmtId="0" fontId="0" fillId="0" borderId="6" xfId="0" applyBorder="1"/>
    <xf numFmtId="0" fontId="3" fillId="5" borderId="0" xfId="1" applyNumberFormat="1" applyFont="1" applyFill="1" applyBorder="1" applyAlignment="1">
      <alignment vertical="top"/>
    </xf>
    <xf numFmtId="168" fontId="3" fillId="5" borderId="5" xfId="1" quotePrefix="1" applyNumberFormat="1" applyFont="1" applyFill="1" applyBorder="1" applyAlignment="1">
      <alignment vertical="top"/>
    </xf>
    <xf numFmtId="0" fontId="0" fillId="0" borderId="5" xfId="0" quotePrefix="1" applyBorder="1"/>
    <xf numFmtId="168" fontId="3" fillId="5" borderId="11" xfId="1" quotePrefix="1" applyNumberFormat="1" applyFont="1" applyFill="1" applyBorder="1" applyAlignment="1">
      <alignment vertical="top"/>
    </xf>
    <xf numFmtId="0" fontId="0" fillId="0" borderId="10" xfId="0" quotePrefix="1" applyBorder="1"/>
    <xf numFmtId="0" fontId="3" fillId="0" borderId="12" xfId="0" quotePrefix="1" applyFont="1" applyBorder="1"/>
    <xf numFmtId="0" fontId="0" fillId="0" borderId="12" xfId="0" quotePrefix="1" applyBorder="1"/>
    <xf numFmtId="0" fontId="0" fillId="0" borderId="21" xfId="0" quotePrefix="1" applyBorder="1"/>
    <xf numFmtId="0" fontId="3" fillId="5" borderId="12" xfId="1" quotePrefix="1" applyNumberFormat="1" applyFont="1" applyFill="1" applyBorder="1" applyAlignment="1">
      <alignment vertical="top"/>
    </xf>
    <xf numFmtId="0" fontId="0" fillId="0" borderId="9" xfId="0" quotePrefix="1" applyBorder="1"/>
    <xf numFmtId="0" fontId="0" fillId="0" borderId="22" xfId="0" quotePrefix="1" applyBorder="1"/>
    <xf numFmtId="0" fontId="3" fillId="5" borderId="11" xfId="1" quotePrefix="1" applyNumberFormat="1" applyFont="1" applyFill="1" applyBorder="1" applyAlignment="1">
      <alignment vertical="top"/>
    </xf>
    <xf numFmtId="49" fontId="0" fillId="0" borderId="10" xfId="0" quotePrefix="1" applyNumberFormat="1" applyBorder="1" applyAlignment="1">
      <alignment wrapText="1"/>
    </xf>
    <xf numFmtId="49" fontId="0" fillId="0" borderId="10" xfId="0" quotePrefix="1" applyNumberFormat="1" applyBorder="1"/>
    <xf numFmtId="0" fontId="3" fillId="6" borderId="0" xfId="0" applyFont="1" applyFill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9" fontId="0" fillId="4" borderId="0" xfId="0" applyNumberForma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8" fontId="2" fillId="4" borderId="0" xfId="1" applyNumberFormat="1" applyFont="1" applyFill="1" applyBorder="1" applyAlignment="1">
      <alignment horizontal="center" vertical="top" wrapText="1"/>
    </xf>
    <xf numFmtId="168" fontId="1" fillId="4" borderId="0" xfId="1" applyNumberFormat="1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selection activeCell="B1" sqref="B1:E1"/>
    </sheetView>
  </sheetViews>
  <sheetFormatPr defaultColWidth="8.81640625" defaultRowHeight="14.5"/>
  <cols>
    <col min="5" max="5" width="18.453125" customWidth="1"/>
  </cols>
  <sheetData>
    <row r="1" spans="1:9" s="40" customFormat="1">
      <c r="B1" s="89" t="s">
        <v>0</v>
      </c>
      <c r="C1" s="89"/>
      <c r="D1" s="89"/>
      <c r="E1" s="89"/>
    </row>
    <row r="2" spans="1:9" s="1" customFormat="1" ht="43.5">
      <c r="B2" s="4" t="s">
        <v>1</v>
      </c>
      <c r="C2" s="5" t="s">
        <v>2</v>
      </c>
      <c r="D2" s="5"/>
      <c r="E2" s="6" t="s">
        <v>3</v>
      </c>
      <c r="F2" s="7"/>
      <c r="G2" s="4" t="s">
        <v>4</v>
      </c>
      <c r="I2" s="4" t="s">
        <v>5</v>
      </c>
    </row>
    <row r="3" spans="1:9">
      <c r="A3" s="2"/>
      <c r="B3" s="8"/>
      <c r="C3" s="8"/>
      <c r="D3" s="8"/>
      <c r="E3" s="8"/>
      <c r="F3" s="8"/>
      <c r="G3" s="2"/>
      <c r="H3" s="2"/>
      <c r="I3" s="8"/>
    </row>
    <row r="4" spans="1:9">
      <c r="B4" s="76" t="s">
        <v>6</v>
      </c>
      <c r="C4" s="65" t="s">
        <v>7</v>
      </c>
      <c r="D4" s="65"/>
      <c r="E4" s="65"/>
      <c r="F4" s="70"/>
      <c r="G4" s="65"/>
      <c r="I4" s="16">
        <f>SUM(I5:I11)</f>
        <v>11</v>
      </c>
    </row>
    <row r="5" spans="1:9">
      <c r="B5" s="71"/>
      <c r="C5" s="60"/>
      <c r="D5" s="72"/>
      <c r="E5" s="73" t="s">
        <v>8</v>
      </c>
      <c r="F5" s="70"/>
      <c r="G5" s="77" t="s">
        <v>9</v>
      </c>
      <c r="I5" s="12">
        <v>3</v>
      </c>
    </row>
    <row r="6" spans="1:9">
      <c r="B6" s="71"/>
      <c r="C6" s="33"/>
      <c r="D6" s="22"/>
      <c r="E6" s="19" t="s">
        <v>10</v>
      </c>
      <c r="F6" s="20"/>
      <c r="G6" s="77" t="s">
        <v>11</v>
      </c>
      <c r="I6" s="12">
        <v>0</v>
      </c>
    </row>
    <row r="7" spans="1:9">
      <c r="B7" s="71"/>
      <c r="D7" s="24"/>
      <c r="E7" s="19" t="s">
        <v>12</v>
      </c>
      <c r="F7" s="20"/>
      <c r="G7" s="77" t="s">
        <v>13</v>
      </c>
      <c r="I7" s="12">
        <v>3</v>
      </c>
    </row>
    <row r="8" spans="1:9">
      <c r="B8" s="71"/>
      <c r="D8" s="47"/>
      <c r="E8" s="19" t="s">
        <v>14</v>
      </c>
      <c r="F8" s="20"/>
      <c r="G8" s="77" t="s">
        <v>15</v>
      </c>
      <c r="I8" s="12">
        <v>1</v>
      </c>
    </row>
    <row r="9" spans="1:9">
      <c r="B9" s="71"/>
      <c r="D9" s="47"/>
      <c r="E9" s="19" t="s">
        <v>16</v>
      </c>
      <c r="F9" s="20"/>
      <c r="G9" s="77" t="s">
        <v>17</v>
      </c>
      <c r="I9" s="12">
        <v>2</v>
      </c>
    </row>
    <row r="10" spans="1:9">
      <c r="B10" s="71"/>
      <c r="D10" s="47"/>
      <c r="E10" s="19" t="s">
        <v>18</v>
      </c>
      <c r="F10" s="20"/>
      <c r="G10" s="77" t="s">
        <v>19</v>
      </c>
      <c r="I10" s="12">
        <v>0</v>
      </c>
    </row>
    <row r="11" spans="1:9">
      <c r="B11" s="71"/>
      <c r="D11" s="47"/>
      <c r="E11" s="19" t="s">
        <v>20</v>
      </c>
      <c r="F11" s="20"/>
      <c r="G11" s="77" t="s">
        <v>21</v>
      </c>
      <c r="I11" s="12">
        <v>2</v>
      </c>
    </row>
    <row r="12" spans="1:9">
      <c r="B12" s="71"/>
      <c r="D12" s="30"/>
      <c r="E12" s="31"/>
      <c r="F12" s="20"/>
    </row>
    <row r="13" spans="1:9">
      <c r="B13" s="76" t="s">
        <v>22</v>
      </c>
      <c r="C13" s="54" t="s">
        <v>23</v>
      </c>
      <c r="D13" s="47"/>
      <c r="E13" s="55"/>
      <c r="F13" s="56"/>
      <c r="G13" s="55"/>
      <c r="H13" s="12"/>
      <c r="I13" s="16">
        <f>SUM(I14:I21)</f>
        <v>8</v>
      </c>
    </row>
    <row r="14" spans="1:9">
      <c r="B14" s="60"/>
      <c r="C14" s="60"/>
      <c r="D14" s="47"/>
      <c r="E14" s="59" t="s">
        <v>24</v>
      </c>
      <c r="F14" s="56"/>
      <c r="G14" s="77" t="s">
        <v>9</v>
      </c>
      <c r="H14" s="12"/>
      <c r="I14" s="12">
        <v>0</v>
      </c>
    </row>
    <row r="15" spans="1:9">
      <c r="B15" s="71"/>
      <c r="C15" s="33"/>
      <c r="D15" s="47"/>
      <c r="E15" s="19" t="s">
        <v>25</v>
      </c>
      <c r="F15" s="56"/>
      <c r="G15" s="77" t="s">
        <v>11</v>
      </c>
      <c r="H15" s="12"/>
      <c r="I15" s="12">
        <v>2</v>
      </c>
    </row>
    <row r="16" spans="1:9">
      <c r="B16" s="71"/>
      <c r="D16" s="47"/>
      <c r="E16" s="19" t="s">
        <v>26</v>
      </c>
      <c r="F16" s="56"/>
      <c r="G16" s="77" t="s">
        <v>13</v>
      </c>
      <c r="H16" s="12"/>
      <c r="I16" s="12">
        <v>3</v>
      </c>
    </row>
    <row r="17" spans="2:9">
      <c r="B17" s="71"/>
      <c r="D17" s="47"/>
      <c r="E17" s="19" t="s">
        <v>27</v>
      </c>
      <c r="F17" s="56"/>
      <c r="G17" s="77" t="s">
        <v>15</v>
      </c>
      <c r="H17" s="12"/>
      <c r="I17" s="12">
        <v>1</v>
      </c>
    </row>
    <row r="18" spans="2:9">
      <c r="B18" s="71"/>
      <c r="D18" s="47"/>
      <c r="E18" s="19" t="s">
        <v>28</v>
      </c>
      <c r="F18" s="56"/>
      <c r="G18" s="77" t="s">
        <v>17</v>
      </c>
      <c r="H18" s="12"/>
      <c r="I18" s="12">
        <v>1</v>
      </c>
    </row>
    <row r="19" spans="2:9">
      <c r="B19" s="71"/>
      <c r="D19" s="47"/>
      <c r="E19" s="19" t="s">
        <v>29</v>
      </c>
      <c r="F19" s="56"/>
      <c r="G19" s="77" t="s">
        <v>19</v>
      </c>
      <c r="H19" s="12"/>
      <c r="I19" s="12">
        <v>0</v>
      </c>
    </row>
    <row r="20" spans="2:9">
      <c r="B20" s="71"/>
      <c r="D20" s="47"/>
      <c r="E20" s="19" t="s">
        <v>30</v>
      </c>
      <c r="F20" s="56"/>
      <c r="G20" s="77" t="s">
        <v>21</v>
      </c>
      <c r="H20" s="12"/>
      <c r="I20" s="12">
        <v>1</v>
      </c>
    </row>
    <row r="21" spans="2:9">
      <c r="B21" s="71"/>
      <c r="D21" s="47"/>
      <c r="E21" s="19" t="s">
        <v>31</v>
      </c>
      <c r="F21" s="56"/>
      <c r="G21" s="77" t="s">
        <v>32</v>
      </c>
      <c r="H21" s="12"/>
      <c r="I21" s="12">
        <v>0</v>
      </c>
    </row>
    <row r="22" spans="2:9">
      <c r="B22" s="71"/>
      <c r="D22" s="30"/>
      <c r="E22" s="31"/>
      <c r="F22" s="20"/>
    </row>
    <row r="23" spans="2:9">
      <c r="B23" s="78" t="s">
        <v>33</v>
      </c>
      <c r="C23" s="65" t="s">
        <v>34</v>
      </c>
      <c r="D23" s="47"/>
      <c r="E23" s="10"/>
      <c r="F23" s="66"/>
      <c r="G23" s="12"/>
      <c r="I23" s="16">
        <f>SUM(I24:I30)</f>
        <v>14</v>
      </c>
    </row>
    <row r="24" spans="2:9">
      <c r="B24" s="60"/>
      <c r="C24" s="60"/>
      <c r="D24" s="18"/>
      <c r="E24" s="10" t="s">
        <v>35</v>
      </c>
      <c r="F24" s="66"/>
      <c r="G24" s="79" t="s">
        <v>9</v>
      </c>
      <c r="I24" s="12">
        <v>0</v>
      </c>
    </row>
    <row r="25" spans="2:9">
      <c r="B25" s="40"/>
      <c r="C25" s="40"/>
      <c r="D25" s="22"/>
      <c r="E25" s="19" t="s">
        <v>36</v>
      </c>
      <c r="F25" s="20"/>
      <c r="G25" s="80" t="s">
        <v>11</v>
      </c>
      <c r="H25" s="40"/>
      <c r="I25" s="12">
        <v>4</v>
      </c>
    </row>
    <row r="26" spans="2:9">
      <c r="D26" s="22"/>
      <c r="E26" s="19" t="s">
        <v>37</v>
      </c>
      <c r="F26" s="20"/>
      <c r="G26" s="81" t="s">
        <v>13</v>
      </c>
      <c r="I26" s="12">
        <v>0</v>
      </c>
    </row>
    <row r="27" spans="2:9">
      <c r="D27" s="22"/>
      <c r="E27" s="19" t="s">
        <v>38</v>
      </c>
      <c r="F27" s="20"/>
      <c r="G27" s="81" t="s">
        <v>15</v>
      </c>
      <c r="I27" s="12">
        <v>4</v>
      </c>
    </row>
    <row r="28" spans="2:9">
      <c r="D28" s="22"/>
      <c r="E28" s="19" t="s">
        <v>39</v>
      </c>
      <c r="F28" s="20"/>
      <c r="G28" s="81" t="s">
        <v>17</v>
      </c>
      <c r="I28" s="12">
        <v>0</v>
      </c>
    </row>
    <row r="29" spans="2:9">
      <c r="D29" s="24"/>
      <c r="E29" s="19" t="s">
        <v>40</v>
      </c>
      <c r="F29" s="20"/>
      <c r="G29" s="82" t="s">
        <v>19</v>
      </c>
      <c r="I29" s="12">
        <v>5</v>
      </c>
    </row>
    <row r="30" spans="2:9">
      <c r="D30" s="11"/>
      <c r="E30" s="19" t="s">
        <v>41</v>
      </c>
      <c r="F30" s="20"/>
      <c r="G30" s="77" t="s">
        <v>21</v>
      </c>
      <c r="I30" s="12">
        <v>1</v>
      </c>
    </row>
    <row r="31" spans="2:9">
      <c r="D31" s="30"/>
      <c r="E31" s="31"/>
      <c r="F31" s="20"/>
    </row>
    <row r="32" spans="2:9">
      <c r="B32" s="83" t="s">
        <v>42</v>
      </c>
      <c r="C32" s="41" t="s">
        <v>43</v>
      </c>
      <c r="D32" s="47"/>
      <c r="E32" s="12"/>
      <c r="F32" s="3"/>
      <c r="G32" s="74"/>
      <c r="I32" s="16">
        <f>SUM(I33:I36)</f>
        <v>10</v>
      </c>
    </row>
    <row r="33" spans="2:9">
      <c r="D33" s="47"/>
      <c r="E33" s="19" t="s">
        <v>44</v>
      </c>
      <c r="F33" s="20"/>
      <c r="G33" s="84" t="s">
        <v>9</v>
      </c>
      <c r="I33" s="12">
        <v>6</v>
      </c>
    </row>
    <row r="34" spans="2:9">
      <c r="D34" s="47"/>
      <c r="E34" s="19" t="s">
        <v>45</v>
      </c>
      <c r="F34" s="20"/>
      <c r="G34" s="84" t="s">
        <v>11</v>
      </c>
      <c r="I34" s="12">
        <v>1</v>
      </c>
    </row>
    <row r="35" spans="2:9">
      <c r="D35" s="47"/>
      <c r="E35" s="19" t="s">
        <v>46</v>
      </c>
      <c r="F35" s="20"/>
      <c r="G35" s="84" t="s">
        <v>13</v>
      </c>
      <c r="I35" s="12">
        <v>3</v>
      </c>
    </row>
    <row r="36" spans="2:9">
      <c r="D36" s="47"/>
      <c r="E36" s="19" t="s">
        <v>47</v>
      </c>
      <c r="F36" s="20"/>
      <c r="G36" s="84" t="s">
        <v>15</v>
      </c>
      <c r="I36" s="12">
        <v>0</v>
      </c>
    </row>
    <row r="37" spans="2:9">
      <c r="D37" s="30"/>
      <c r="E37" s="31"/>
      <c r="F37" s="20"/>
    </row>
    <row r="38" spans="2:9">
      <c r="B38" s="83" t="s">
        <v>48</v>
      </c>
      <c r="C38" s="41" t="s">
        <v>49</v>
      </c>
      <c r="D38" s="11"/>
      <c r="E38" s="12"/>
      <c r="F38" s="3"/>
      <c r="G38" s="12"/>
      <c r="I38" s="16">
        <f>SUM(I39:I44)</f>
        <v>11</v>
      </c>
    </row>
    <row r="39" spans="2:9">
      <c r="B39" s="75"/>
      <c r="C39" s="75"/>
      <c r="D39" s="11"/>
      <c r="E39" s="12" t="s">
        <v>50</v>
      </c>
      <c r="F39" s="3"/>
      <c r="G39" s="85" t="s">
        <v>9</v>
      </c>
      <c r="I39" s="12">
        <v>1</v>
      </c>
    </row>
    <row r="40" spans="2:9">
      <c r="D40" s="11"/>
      <c r="E40" s="19" t="s">
        <v>51</v>
      </c>
      <c r="F40" s="20"/>
      <c r="G40" s="85" t="s">
        <v>11</v>
      </c>
      <c r="I40" s="12">
        <v>4</v>
      </c>
    </row>
    <row r="41" spans="2:9">
      <c r="D41" s="11"/>
      <c r="E41" s="19" t="s">
        <v>52</v>
      </c>
      <c r="F41" s="20"/>
      <c r="G41" s="85" t="s">
        <v>13</v>
      </c>
      <c r="I41" s="12">
        <v>0</v>
      </c>
    </row>
    <row r="42" spans="2:9">
      <c r="D42" s="51"/>
      <c r="E42" s="19" t="s">
        <v>53</v>
      </c>
      <c r="F42" s="20"/>
      <c r="G42" s="85" t="s">
        <v>15</v>
      </c>
      <c r="I42" s="12">
        <v>4</v>
      </c>
    </row>
    <row r="43" spans="2:9">
      <c r="D43" s="11"/>
      <c r="E43" s="19" t="s">
        <v>54</v>
      </c>
      <c r="F43" s="20"/>
      <c r="G43" s="85" t="s">
        <v>17</v>
      </c>
      <c r="I43" s="12">
        <v>2</v>
      </c>
    </row>
    <row r="44" spans="2:9">
      <c r="D44" s="47"/>
      <c r="E44" s="19" t="s">
        <v>55</v>
      </c>
      <c r="F44" s="20"/>
      <c r="G44" s="85" t="s">
        <v>19</v>
      </c>
      <c r="I44" s="12"/>
    </row>
    <row r="46" spans="2:9">
      <c r="B46" s="83" t="s">
        <v>56</v>
      </c>
      <c r="C46" s="41" t="s">
        <v>57</v>
      </c>
      <c r="D46" s="11"/>
      <c r="E46" s="12"/>
      <c r="F46" s="3"/>
      <c r="G46" s="12"/>
      <c r="I46" s="16">
        <f>SUM(I47:I52)</f>
        <v>10</v>
      </c>
    </row>
    <row r="47" spans="2:9">
      <c r="D47" s="11"/>
      <c r="E47" s="19" t="s">
        <v>58</v>
      </c>
      <c r="F47" s="20"/>
      <c r="G47" s="77" t="s">
        <v>9</v>
      </c>
      <c r="I47" s="12">
        <v>4</v>
      </c>
    </row>
    <row r="48" spans="2:9">
      <c r="D48" s="47"/>
      <c r="E48" s="19" t="s">
        <v>59</v>
      </c>
      <c r="F48" s="20"/>
      <c r="G48" s="77" t="s">
        <v>11</v>
      </c>
      <c r="I48" s="12">
        <v>3</v>
      </c>
    </row>
    <row r="49" spans="2:9">
      <c r="D49" s="47"/>
      <c r="E49" s="19" t="s">
        <v>60</v>
      </c>
      <c r="F49" s="20"/>
      <c r="G49" s="77" t="s">
        <v>13</v>
      </c>
      <c r="I49" s="12">
        <v>0</v>
      </c>
    </row>
    <row r="50" spans="2:9">
      <c r="D50" s="47"/>
      <c r="E50" s="19" t="s">
        <v>61</v>
      </c>
      <c r="F50" s="20"/>
      <c r="G50" s="77" t="s">
        <v>15</v>
      </c>
      <c r="I50" s="12">
        <v>1</v>
      </c>
    </row>
    <row r="51" spans="2:9">
      <c r="D51" s="47"/>
      <c r="E51" s="19" t="s">
        <v>62</v>
      </c>
      <c r="F51" s="20"/>
      <c r="G51" s="77" t="s">
        <v>17</v>
      </c>
      <c r="I51" s="12">
        <v>2</v>
      </c>
    </row>
    <row r="52" spans="2:9">
      <c r="D52" s="47"/>
      <c r="E52" s="19" t="s">
        <v>63</v>
      </c>
      <c r="F52" s="20"/>
      <c r="G52" s="77" t="s">
        <v>19</v>
      </c>
      <c r="I52" s="12">
        <v>0</v>
      </c>
    </row>
    <row r="54" spans="2:9">
      <c r="B54" s="86" t="s">
        <v>64</v>
      </c>
      <c r="C54" s="10" t="s">
        <v>65</v>
      </c>
      <c r="D54" s="11"/>
      <c r="E54" s="12"/>
      <c r="F54" s="3"/>
      <c r="G54" s="12"/>
      <c r="I54" s="16">
        <f>SUM(I55:I68)</f>
        <v>20</v>
      </c>
    </row>
    <row r="55" spans="2:9">
      <c r="D55" s="18"/>
      <c r="E55" s="19" t="s">
        <v>66</v>
      </c>
      <c r="F55" s="20"/>
      <c r="G55" s="79" t="s">
        <v>9</v>
      </c>
      <c r="I55" s="12">
        <v>1</v>
      </c>
    </row>
    <row r="56" spans="2:9">
      <c r="D56" s="18"/>
      <c r="E56" s="19" t="s">
        <v>67</v>
      </c>
      <c r="F56" s="20"/>
      <c r="G56" s="79" t="s">
        <v>11</v>
      </c>
      <c r="I56" s="12">
        <v>0</v>
      </c>
    </row>
    <row r="57" spans="2:9">
      <c r="D57" s="18"/>
      <c r="E57" s="19" t="s">
        <v>68</v>
      </c>
      <c r="F57" s="20"/>
      <c r="G57" s="79" t="s">
        <v>13</v>
      </c>
      <c r="I57" s="12">
        <v>0</v>
      </c>
    </row>
    <row r="58" spans="2:9">
      <c r="D58" s="18"/>
      <c r="E58" s="19" t="s">
        <v>69</v>
      </c>
      <c r="F58" s="20"/>
      <c r="G58" s="79" t="s">
        <v>15</v>
      </c>
      <c r="I58" s="12">
        <v>0</v>
      </c>
    </row>
    <row r="59" spans="2:9">
      <c r="D59" s="18"/>
      <c r="E59" s="19" t="s">
        <v>70</v>
      </c>
      <c r="F59" s="20"/>
      <c r="G59" s="79" t="s">
        <v>17</v>
      </c>
      <c r="I59" s="12">
        <v>0</v>
      </c>
    </row>
    <row r="60" spans="2:9">
      <c r="D60" s="18"/>
      <c r="E60" s="19" t="s">
        <v>71</v>
      </c>
      <c r="F60" s="20"/>
      <c r="G60" s="79" t="s">
        <v>19</v>
      </c>
      <c r="I60" s="12">
        <v>0</v>
      </c>
    </row>
    <row r="61" spans="2:9">
      <c r="D61" s="18"/>
      <c r="E61" s="19" t="s">
        <v>72</v>
      </c>
      <c r="F61" s="20"/>
      <c r="G61" s="79" t="s">
        <v>21</v>
      </c>
      <c r="I61" s="12">
        <v>0</v>
      </c>
    </row>
    <row r="62" spans="2:9">
      <c r="D62" s="22"/>
      <c r="E62" s="19" t="s">
        <v>73</v>
      </c>
      <c r="F62" s="20"/>
      <c r="G62" s="79" t="s">
        <v>32</v>
      </c>
      <c r="I62" s="12">
        <v>4</v>
      </c>
    </row>
    <row r="63" spans="2:9">
      <c r="D63" s="22"/>
      <c r="E63" s="19" t="s">
        <v>74</v>
      </c>
      <c r="F63" s="20"/>
      <c r="G63" s="79" t="s">
        <v>75</v>
      </c>
      <c r="I63" s="12">
        <v>3</v>
      </c>
    </row>
    <row r="64" spans="2:9">
      <c r="D64" s="22"/>
      <c r="E64" s="19" t="s">
        <v>76</v>
      </c>
      <c r="F64" s="20"/>
      <c r="G64" s="79" t="s">
        <v>77</v>
      </c>
      <c r="I64" s="12">
        <v>2</v>
      </c>
    </row>
    <row r="65" spans="2:9">
      <c r="D65" s="22"/>
      <c r="E65" s="19" t="s">
        <v>78</v>
      </c>
      <c r="F65" s="20"/>
      <c r="G65" s="79" t="s">
        <v>79</v>
      </c>
      <c r="I65" s="12">
        <v>2</v>
      </c>
    </row>
    <row r="66" spans="2:9">
      <c r="D66" s="24"/>
      <c r="E66" s="19" t="s">
        <v>80</v>
      </c>
      <c r="F66" s="20"/>
      <c r="G66" s="79" t="s">
        <v>81</v>
      </c>
      <c r="I66" s="12">
        <v>2</v>
      </c>
    </row>
    <row r="67" spans="2:9">
      <c r="D67" s="11"/>
      <c r="E67" s="19" t="s">
        <v>82</v>
      </c>
      <c r="F67" s="20"/>
      <c r="G67" s="79" t="s">
        <v>83</v>
      </c>
      <c r="I67" s="12">
        <v>4</v>
      </c>
    </row>
    <row r="68" spans="2:9">
      <c r="D68" s="47"/>
      <c r="E68" s="19" t="s">
        <v>84</v>
      </c>
      <c r="F68" s="20"/>
      <c r="G68" s="79" t="s">
        <v>85</v>
      </c>
      <c r="I68" s="12">
        <v>2</v>
      </c>
    </row>
    <row r="70" spans="2:9">
      <c r="B70" s="86" t="s">
        <v>86</v>
      </c>
      <c r="C70" s="10" t="s">
        <v>87</v>
      </c>
      <c r="D70" s="11"/>
      <c r="E70" s="12"/>
      <c r="F70" s="3"/>
      <c r="G70" s="12"/>
      <c r="I70" s="16">
        <f>SUM(I71:I77)</f>
        <v>16</v>
      </c>
    </row>
    <row r="71" spans="2:9">
      <c r="D71" s="18"/>
      <c r="E71" s="19" t="s">
        <v>88</v>
      </c>
      <c r="F71" s="20"/>
      <c r="G71" s="79" t="s">
        <v>9</v>
      </c>
      <c r="I71" s="12">
        <v>0</v>
      </c>
    </row>
    <row r="72" spans="2:9">
      <c r="D72" s="22"/>
      <c r="E72" s="19" t="s">
        <v>89</v>
      </c>
      <c r="F72" s="20"/>
      <c r="G72" s="79" t="s">
        <v>11</v>
      </c>
      <c r="I72" s="12">
        <v>4</v>
      </c>
    </row>
    <row r="73" spans="2:9">
      <c r="D73" s="22"/>
      <c r="E73" s="19" t="s">
        <v>90</v>
      </c>
      <c r="F73" s="20"/>
      <c r="G73" s="79" t="s">
        <v>13</v>
      </c>
      <c r="I73" s="12">
        <v>0</v>
      </c>
    </row>
    <row r="74" spans="2:9">
      <c r="D74" s="22"/>
      <c r="E74" s="19" t="s">
        <v>91</v>
      </c>
      <c r="F74" s="20"/>
      <c r="G74" s="79" t="s">
        <v>15</v>
      </c>
      <c r="I74" s="12">
        <v>6</v>
      </c>
    </row>
    <row r="75" spans="2:9">
      <c r="D75" s="22"/>
      <c r="E75" s="19" t="s">
        <v>92</v>
      </c>
      <c r="F75" s="20"/>
      <c r="G75" s="79" t="s">
        <v>17</v>
      </c>
      <c r="I75" s="12">
        <v>2</v>
      </c>
    </row>
    <row r="76" spans="2:9">
      <c r="D76" s="22"/>
      <c r="E76" s="19" t="s">
        <v>93</v>
      </c>
      <c r="F76" s="20"/>
      <c r="G76" s="79" t="s">
        <v>19</v>
      </c>
      <c r="I76" s="12">
        <v>4</v>
      </c>
    </row>
    <row r="77" spans="2:9">
      <c r="D77" s="22"/>
      <c r="E77" s="19" t="s">
        <v>94</v>
      </c>
      <c r="F77" s="20"/>
      <c r="G77" s="79" t="s">
        <v>21</v>
      </c>
      <c r="I77" s="12">
        <v>0</v>
      </c>
    </row>
    <row r="103" spans="4:6">
      <c r="D103" s="30"/>
      <c r="E103" s="31"/>
      <c r="F103" s="20"/>
    </row>
  </sheetData>
  <mergeCells count="1">
    <mergeCell ref="B1:E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1"/>
  <sheetViews>
    <sheetView tabSelected="1" workbookViewId="0">
      <selection activeCell="B3" sqref="B3:D3"/>
    </sheetView>
  </sheetViews>
  <sheetFormatPr defaultColWidth="8.81640625" defaultRowHeight="14.5"/>
  <cols>
    <col min="1" max="1" width="3.54296875" customWidth="1"/>
    <col min="2" max="2" width="4.7265625" customWidth="1"/>
    <col min="3" max="3" width="17.54296875" customWidth="1"/>
    <col min="4" max="4" width="2.453125" customWidth="1"/>
    <col min="5" max="5" width="19.26953125" customWidth="1"/>
    <col min="6" max="6" width="3.26953125" style="3" customWidth="1"/>
    <col min="8" max="8" width="3.7265625" customWidth="1"/>
    <col min="9" max="9" width="13.26953125" customWidth="1"/>
    <col min="10" max="10" width="9.7265625" customWidth="1"/>
  </cols>
  <sheetData>
    <row r="1" spans="2:9" s="1" customFormat="1" ht="34.9" customHeight="1">
      <c r="B1" s="4" t="s">
        <v>1</v>
      </c>
      <c r="C1" s="5" t="s">
        <v>2</v>
      </c>
      <c r="D1" s="5"/>
      <c r="E1" s="6" t="s">
        <v>3</v>
      </c>
      <c r="F1" s="7"/>
      <c r="G1" s="4" t="s">
        <v>4</v>
      </c>
      <c r="I1" s="4" t="s">
        <v>5</v>
      </c>
    </row>
    <row r="2" spans="2:9" s="2" customFormat="1">
      <c r="B2" s="8"/>
      <c r="C2" s="8"/>
      <c r="D2" s="8"/>
      <c r="E2" s="8"/>
      <c r="F2" s="8"/>
      <c r="I2" s="8"/>
    </row>
    <row r="3" spans="2:9">
      <c r="B3" s="90" t="s">
        <v>95</v>
      </c>
      <c r="C3" s="91"/>
      <c r="D3" s="91"/>
      <c r="E3" s="31"/>
      <c r="F3" s="20"/>
      <c r="G3" s="26"/>
    </row>
    <row r="4" spans="2:9">
      <c r="B4" s="28">
        <v>24</v>
      </c>
      <c r="C4" s="10" t="s">
        <v>96</v>
      </c>
      <c r="D4" s="11"/>
      <c r="E4" s="12"/>
      <c r="F4" s="13"/>
      <c r="G4" s="14"/>
      <c r="H4" s="15"/>
      <c r="I4" s="16">
        <f>SUM(I5:I12)</f>
        <v>18</v>
      </c>
    </row>
    <row r="5" spans="2:9">
      <c r="B5" s="17"/>
      <c r="D5" s="18"/>
      <c r="E5" s="19" t="s">
        <v>97</v>
      </c>
      <c r="F5" s="20"/>
      <c r="G5" s="14">
        <v>1</v>
      </c>
      <c r="I5" s="12">
        <v>0</v>
      </c>
    </row>
    <row r="6" spans="2:9">
      <c r="B6" s="17"/>
      <c r="D6" s="18"/>
      <c r="E6" s="19" t="s">
        <v>98</v>
      </c>
      <c r="F6" s="20"/>
      <c r="G6" s="14">
        <v>2</v>
      </c>
      <c r="I6" s="12">
        <v>6</v>
      </c>
    </row>
    <row r="7" spans="2:9">
      <c r="B7" s="17"/>
      <c r="D7" s="22"/>
      <c r="E7" s="19" t="s">
        <v>99</v>
      </c>
      <c r="F7" s="20"/>
      <c r="G7" s="14">
        <v>3</v>
      </c>
      <c r="I7" s="12">
        <v>1</v>
      </c>
    </row>
    <row r="8" spans="2:9">
      <c r="B8" s="17"/>
      <c r="D8" s="22"/>
      <c r="E8" s="19" t="s">
        <v>100</v>
      </c>
      <c r="F8" s="20"/>
      <c r="G8" s="14">
        <v>4</v>
      </c>
      <c r="I8" s="12">
        <v>1</v>
      </c>
    </row>
    <row r="9" spans="2:9">
      <c r="B9" s="17"/>
      <c r="D9" s="22"/>
      <c r="E9" s="19" t="s">
        <v>101</v>
      </c>
      <c r="F9" s="20"/>
      <c r="G9" s="14">
        <v>5</v>
      </c>
      <c r="I9" s="12">
        <v>5</v>
      </c>
    </row>
    <row r="10" spans="2:9">
      <c r="B10" s="17"/>
      <c r="D10" s="24"/>
      <c r="E10" s="19" t="s">
        <v>102</v>
      </c>
      <c r="F10" s="20"/>
      <c r="G10" s="14">
        <v>6</v>
      </c>
      <c r="I10" s="12">
        <v>4</v>
      </c>
    </row>
    <row r="11" spans="2:9">
      <c r="B11" s="17"/>
      <c r="D11" s="11"/>
      <c r="E11" s="19" t="s">
        <v>103</v>
      </c>
      <c r="F11" s="20"/>
      <c r="G11" s="14">
        <v>7</v>
      </c>
      <c r="I11" s="12">
        <v>1</v>
      </c>
    </row>
    <row r="12" spans="2:9">
      <c r="B12" s="17"/>
      <c r="D12" s="11"/>
      <c r="E12" s="19" t="s">
        <v>104</v>
      </c>
      <c r="F12" s="20"/>
      <c r="G12" s="14">
        <v>8</v>
      </c>
      <c r="I12" s="12">
        <v>0</v>
      </c>
    </row>
    <row r="13" spans="2:9">
      <c r="B13" s="17"/>
      <c r="D13" s="30"/>
      <c r="E13" s="31"/>
      <c r="F13" s="20"/>
      <c r="G13" s="26"/>
      <c r="I13" s="27"/>
    </row>
    <row r="14" spans="2:9">
      <c r="B14" s="28" t="s">
        <v>105</v>
      </c>
      <c r="C14" s="54" t="s">
        <v>106</v>
      </c>
      <c r="D14" s="47"/>
      <c r="E14" s="55"/>
      <c r="F14" s="56"/>
      <c r="G14" s="14"/>
      <c r="H14" s="12"/>
      <c r="I14" s="16">
        <f>SUM(I15:I30)</f>
        <v>11</v>
      </c>
    </row>
    <row r="15" spans="2:9">
      <c r="B15" s="57"/>
      <c r="C15" s="58" t="s">
        <v>107</v>
      </c>
      <c r="D15" s="47"/>
      <c r="E15" s="59"/>
      <c r="F15" s="56"/>
      <c r="G15" s="14"/>
      <c r="H15" s="12"/>
      <c r="I15" s="12">
        <v>0</v>
      </c>
    </row>
    <row r="16" spans="2:9">
      <c r="B16" s="57"/>
      <c r="C16" s="60"/>
      <c r="D16" s="47"/>
      <c r="E16" s="19" t="s">
        <v>107</v>
      </c>
      <c r="F16" s="56"/>
      <c r="G16" s="14">
        <v>1</v>
      </c>
      <c r="H16" s="12"/>
      <c r="I16" s="12"/>
    </row>
    <row r="17" spans="2:9">
      <c r="B17" s="57"/>
      <c r="C17" s="60"/>
      <c r="D17" s="47"/>
      <c r="E17" s="19" t="s">
        <v>108</v>
      </c>
      <c r="F17" s="61"/>
      <c r="G17" s="14">
        <v>2</v>
      </c>
      <c r="H17" s="12"/>
      <c r="I17" s="12"/>
    </row>
    <row r="18" spans="2:9">
      <c r="B18" s="57"/>
      <c r="C18" s="60"/>
      <c r="D18" s="47"/>
      <c r="E18" s="19" t="s">
        <v>109</v>
      </c>
      <c r="F18" s="61"/>
      <c r="G18" s="14">
        <v>3</v>
      </c>
      <c r="H18" s="12"/>
      <c r="I18" s="12"/>
    </row>
    <row r="19" spans="2:9">
      <c r="B19" s="57"/>
      <c r="D19" s="47"/>
      <c r="E19" s="19" t="s">
        <v>110</v>
      </c>
      <c r="F19" s="61"/>
      <c r="G19" s="14">
        <v>4</v>
      </c>
      <c r="H19" s="12"/>
      <c r="I19" s="12"/>
    </row>
    <row r="20" spans="2:9">
      <c r="B20" s="57"/>
      <c r="D20" s="47"/>
      <c r="E20" s="19" t="s">
        <v>111</v>
      </c>
      <c r="F20" s="61"/>
      <c r="G20" s="14">
        <v>5</v>
      </c>
      <c r="H20" s="12"/>
      <c r="I20" s="12"/>
    </row>
    <row r="21" spans="2:9">
      <c r="B21" s="57"/>
      <c r="D21" s="47"/>
      <c r="E21" s="19" t="s">
        <v>112</v>
      </c>
      <c r="F21" s="61"/>
      <c r="G21" s="14">
        <v>6</v>
      </c>
      <c r="H21" s="12"/>
      <c r="I21" s="12"/>
    </row>
    <row r="22" spans="2:9">
      <c r="B22" s="57"/>
      <c r="D22" s="47"/>
      <c r="E22" s="19" t="s">
        <v>113</v>
      </c>
      <c r="F22" s="61"/>
      <c r="G22" s="14">
        <v>7</v>
      </c>
      <c r="H22" s="12"/>
      <c r="I22" s="12"/>
    </row>
    <row r="23" spans="2:9">
      <c r="B23" s="57"/>
      <c r="D23" s="47"/>
      <c r="E23" s="19" t="s">
        <v>114</v>
      </c>
      <c r="G23" s="14">
        <v>8</v>
      </c>
      <c r="I23" s="12"/>
    </row>
    <row r="24" spans="2:9">
      <c r="B24" s="57"/>
      <c r="D24" s="11"/>
      <c r="E24" s="19" t="s">
        <v>115</v>
      </c>
      <c r="G24" s="14">
        <v>9</v>
      </c>
      <c r="I24" s="12"/>
    </row>
    <row r="25" spans="2:9">
      <c r="B25" s="57"/>
      <c r="D25" s="11"/>
      <c r="E25" s="19" t="s">
        <v>116</v>
      </c>
      <c r="G25" s="14">
        <v>10</v>
      </c>
      <c r="I25" s="12"/>
    </row>
    <row r="26" spans="2:9">
      <c r="B26" s="57"/>
      <c r="D26" s="11"/>
      <c r="E26" s="19" t="s">
        <v>117</v>
      </c>
      <c r="G26" s="14">
        <v>11</v>
      </c>
      <c r="I26" s="12">
        <v>3</v>
      </c>
    </row>
    <row r="27" spans="2:9">
      <c r="B27" s="57"/>
      <c r="D27" s="11"/>
      <c r="E27" s="19" t="s">
        <v>118</v>
      </c>
      <c r="G27" s="14">
        <v>12</v>
      </c>
      <c r="I27" s="12">
        <v>1</v>
      </c>
    </row>
    <row r="28" spans="2:9">
      <c r="B28" s="57"/>
      <c r="D28" s="11"/>
      <c r="E28" s="19" t="s">
        <v>119</v>
      </c>
      <c r="G28" s="14">
        <v>13</v>
      </c>
      <c r="I28" s="12">
        <v>2</v>
      </c>
    </row>
    <row r="29" spans="2:9">
      <c r="B29" s="57"/>
      <c r="D29" s="11"/>
      <c r="E29" s="19" t="s">
        <v>120</v>
      </c>
      <c r="G29" s="14">
        <v>14</v>
      </c>
      <c r="I29" s="12">
        <v>5</v>
      </c>
    </row>
    <row r="30" spans="2:9">
      <c r="B30" s="57"/>
      <c r="D30" s="11"/>
      <c r="E30" s="19" t="s">
        <v>121</v>
      </c>
      <c r="G30" s="14">
        <v>15</v>
      </c>
      <c r="I30" s="12"/>
    </row>
    <row r="31" spans="2:9">
      <c r="B31" s="25"/>
      <c r="F31"/>
      <c r="G31" s="26"/>
      <c r="I31" s="27"/>
    </row>
    <row r="32" spans="2:9">
      <c r="B32" s="28">
        <v>15</v>
      </c>
      <c r="C32" s="10" t="s">
        <v>122</v>
      </c>
      <c r="D32" s="47"/>
      <c r="E32" s="47"/>
      <c r="G32" s="14"/>
      <c r="I32" s="16">
        <f>SUM(I33:I39)</f>
        <v>22</v>
      </c>
    </row>
    <row r="33" spans="2:9">
      <c r="B33" s="17"/>
      <c r="D33" s="62"/>
      <c r="E33" s="63" t="s">
        <v>123</v>
      </c>
      <c r="F33" s="20"/>
      <c r="G33" s="14">
        <v>1</v>
      </c>
      <c r="I33" s="12">
        <v>0</v>
      </c>
    </row>
    <row r="34" spans="2:9">
      <c r="B34" s="17"/>
      <c r="D34" s="18"/>
      <c r="E34" s="19" t="s">
        <v>124</v>
      </c>
      <c r="F34" s="20"/>
      <c r="G34" s="14">
        <v>2</v>
      </c>
      <c r="I34" s="12">
        <v>1</v>
      </c>
    </row>
    <row r="35" spans="2:9">
      <c r="B35" s="17"/>
      <c r="D35" s="22"/>
      <c r="E35" s="19" t="s">
        <v>125</v>
      </c>
      <c r="F35" s="20"/>
      <c r="G35" s="14">
        <v>3</v>
      </c>
      <c r="I35" s="12">
        <v>8</v>
      </c>
    </row>
    <row r="36" spans="2:9">
      <c r="B36" s="17"/>
      <c r="D36" s="22"/>
      <c r="E36" s="19" t="s">
        <v>126</v>
      </c>
      <c r="F36" s="20"/>
      <c r="G36" s="14">
        <v>4</v>
      </c>
      <c r="I36" s="12">
        <v>7</v>
      </c>
    </row>
    <row r="37" spans="2:9">
      <c r="B37" s="17"/>
      <c r="D37" s="22"/>
      <c r="E37" s="19" t="s">
        <v>127</v>
      </c>
      <c r="F37" s="20"/>
      <c r="G37" s="14">
        <v>5</v>
      </c>
      <c r="I37" s="12">
        <v>2</v>
      </c>
    </row>
    <row r="38" spans="2:9">
      <c r="B38" s="17"/>
      <c r="D38" s="24"/>
      <c r="E38" s="19" t="s">
        <v>128</v>
      </c>
      <c r="F38" s="20"/>
      <c r="G38" s="14">
        <v>6</v>
      </c>
      <c r="I38" s="12">
        <v>4</v>
      </c>
    </row>
    <row r="39" spans="2:9">
      <c r="B39" s="17"/>
      <c r="D39" s="11"/>
      <c r="E39" s="19" t="s">
        <v>129</v>
      </c>
      <c r="F39" s="20"/>
      <c r="G39" s="14">
        <v>7</v>
      </c>
      <c r="I39" s="12">
        <v>0</v>
      </c>
    </row>
    <row r="40" spans="2:9">
      <c r="B40" s="64"/>
      <c r="D40" s="30"/>
      <c r="E40" s="31"/>
      <c r="F40" s="20"/>
      <c r="G40" s="26"/>
      <c r="I40" s="27"/>
    </row>
    <row r="41" spans="2:9">
      <c r="B41" s="28" t="s">
        <v>130</v>
      </c>
      <c r="C41" s="65" t="s">
        <v>131</v>
      </c>
      <c r="D41" s="11"/>
      <c r="E41" s="47"/>
      <c r="F41" s="66"/>
      <c r="G41" s="14"/>
      <c r="I41" s="16">
        <f>SUM(I42:I47)</f>
        <v>9</v>
      </c>
    </row>
    <row r="42" spans="2:9">
      <c r="B42" s="57"/>
      <c r="C42" s="33"/>
      <c r="D42" s="18"/>
      <c r="E42" s="10" t="s">
        <v>132</v>
      </c>
      <c r="F42" s="66"/>
      <c r="G42" s="21">
        <v>1</v>
      </c>
      <c r="I42" s="12">
        <v>0</v>
      </c>
    </row>
    <row r="43" spans="2:9">
      <c r="B43" s="57"/>
      <c r="C43" s="33"/>
      <c r="D43" s="18"/>
      <c r="E43" s="67" t="s">
        <v>133</v>
      </c>
      <c r="F43" s="66"/>
      <c r="G43" s="14">
        <v>2</v>
      </c>
      <c r="I43" s="12">
        <v>5</v>
      </c>
    </row>
    <row r="44" spans="2:9">
      <c r="B44" s="57"/>
      <c r="D44" s="22"/>
      <c r="E44" s="19" t="s">
        <v>134</v>
      </c>
      <c r="F44" s="20"/>
      <c r="G44" s="21">
        <v>3</v>
      </c>
      <c r="I44" s="12">
        <v>2</v>
      </c>
    </row>
    <row r="45" spans="2:9">
      <c r="B45" s="57"/>
      <c r="D45" s="24"/>
      <c r="E45" s="19" t="s">
        <v>135</v>
      </c>
      <c r="F45" s="20"/>
      <c r="G45" s="14">
        <v>4</v>
      </c>
      <c r="I45" s="12">
        <v>0</v>
      </c>
    </row>
    <row r="46" spans="2:9">
      <c r="B46" s="57"/>
      <c r="D46" s="11"/>
      <c r="E46" s="19" t="s">
        <v>136</v>
      </c>
      <c r="F46" s="20"/>
      <c r="G46" s="21">
        <v>5</v>
      </c>
      <c r="I46" s="12">
        <v>1</v>
      </c>
    </row>
    <row r="47" spans="2:9">
      <c r="B47" s="68"/>
      <c r="C47" s="35"/>
      <c r="D47" s="11"/>
      <c r="E47" s="19" t="s">
        <v>137</v>
      </c>
      <c r="F47" s="36"/>
      <c r="G47" s="14">
        <v>6</v>
      </c>
      <c r="H47" s="35"/>
      <c r="I47" s="12">
        <v>1</v>
      </c>
    </row>
    <row r="48" spans="2:9">
      <c r="F48"/>
    </row>
    <row r="49" spans="2:9">
      <c r="B49" s="69"/>
      <c r="F49"/>
      <c r="G49" s="92" t="s">
        <v>138</v>
      </c>
      <c r="H49" s="92"/>
      <c r="I49" s="16">
        <f>SUM(I4,I14,I32,I41)</f>
        <v>60</v>
      </c>
    </row>
    <row r="50" spans="2:9">
      <c r="B50" s="39"/>
      <c r="D50" s="30"/>
      <c r="E50" s="31"/>
      <c r="F50" s="20"/>
    </row>
    <row r="51" spans="2:9">
      <c r="D51" s="30"/>
      <c r="E51" s="31"/>
      <c r="F51" s="20"/>
    </row>
  </sheetData>
  <mergeCells count="2">
    <mergeCell ref="B3:D3"/>
    <mergeCell ref="G49:H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5"/>
  <sheetViews>
    <sheetView workbookViewId="0">
      <selection activeCell="B3" sqref="B3:D3"/>
    </sheetView>
  </sheetViews>
  <sheetFormatPr defaultColWidth="8.81640625" defaultRowHeight="14.5"/>
  <cols>
    <col min="1" max="1" width="3.54296875" customWidth="1"/>
    <col min="2" max="2" width="4.7265625" customWidth="1"/>
    <col min="3" max="3" width="17.54296875" customWidth="1"/>
    <col min="4" max="4" width="2.453125" customWidth="1"/>
    <col min="5" max="5" width="19.26953125" customWidth="1"/>
    <col min="6" max="6" width="3.26953125" style="3" customWidth="1"/>
    <col min="8" max="8" width="3.7265625" customWidth="1"/>
    <col min="9" max="9" width="13.26953125" customWidth="1"/>
    <col min="10" max="10" width="9.7265625" customWidth="1"/>
  </cols>
  <sheetData>
    <row r="1" spans="2:9" s="1" customFormat="1" ht="34.9" customHeight="1">
      <c r="B1" s="4" t="s">
        <v>1</v>
      </c>
      <c r="C1" s="5" t="s">
        <v>2</v>
      </c>
      <c r="D1" s="5"/>
      <c r="E1" s="6" t="s">
        <v>3</v>
      </c>
      <c r="F1" s="7"/>
      <c r="G1" s="4" t="s">
        <v>4</v>
      </c>
      <c r="I1" s="4" t="s">
        <v>5</v>
      </c>
    </row>
    <row r="2" spans="2:9" s="2" customFormat="1">
      <c r="B2" s="8"/>
      <c r="C2" s="8"/>
      <c r="D2" s="8"/>
      <c r="E2" s="8"/>
      <c r="F2" s="8"/>
      <c r="I2" s="8"/>
    </row>
    <row r="3" spans="2:9">
      <c r="B3" s="93" t="s">
        <v>139</v>
      </c>
      <c r="C3" s="94"/>
      <c r="D3" s="94"/>
      <c r="F3"/>
      <c r="G3" s="26"/>
    </row>
    <row r="4" spans="2:9">
      <c r="B4" s="9" t="s">
        <v>140</v>
      </c>
      <c r="C4" s="10" t="s">
        <v>141</v>
      </c>
      <c r="D4" s="11"/>
      <c r="E4" s="47"/>
      <c r="F4" s="13"/>
      <c r="G4" s="14"/>
      <c r="H4" s="15"/>
      <c r="I4" s="16">
        <f>SUM(I5:I10)</f>
        <v>11</v>
      </c>
    </row>
    <row r="5" spans="2:9">
      <c r="B5" s="17"/>
      <c r="D5" s="18"/>
      <c r="E5" s="48" t="s">
        <v>142</v>
      </c>
      <c r="G5" s="21">
        <v>1</v>
      </c>
      <c r="I5" s="12">
        <v>0</v>
      </c>
    </row>
    <row r="6" spans="2:9">
      <c r="B6" s="17"/>
      <c r="D6" s="18"/>
      <c r="E6" s="12" t="s">
        <v>143</v>
      </c>
      <c r="G6" s="14">
        <v>2</v>
      </c>
      <c r="I6" s="12">
        <v>4</v>
      </c>
    </row>
    <row r="7" spans="2:9">
      <c r="B7" s="17"/>
      <c r="D7" s="22"/>
      <c r="E7" s="19" t="s">
        <v>144</v>
      </c>
      <c r="F7" s="20"/>
      <c r="G7" s="21">
        <v>3</v>
      </c>
      <c r="I7" s="12">
        <v>2</v>
      </c>
    </row>
    <row r="8" spans="2:9">
      <c r="B8" s="17"/>
      <c r="D8" s="22"/>
      <c r="E8" s="19" t="s">
        <v>145</v>
      </c>
      <c r="F8" s="20"/>
      <c r="G8" s="14">
        <v>4</v>
      </c>
      <c r="I8" s="12">
        <v>2</v>
      </c>
    </row>
    <row r="9" spans="2:9">
      <c r="B9" s="17"/>
      <c r="D9" s="22"/>
      <c r="E9" s="12" t="s">
        <v>146</v>
      </c>
      <c r="G9" s="21">
        <v>5</v>
      </c>
      <c r="I9" s="12">
        <v>1</v>
      </c>
    </row>
    <row r="10" spans="2:9">
      <c r="B10" s="17"/>
      <c r="D10" s="11"/>
      <c r="E10" s="19" t="s">
        <v>147</v>
      </c>
      <c r="F10" s="20"/>
      <c r="G10" s="14">
        <v>6</v>
      </c>
      <c r="I10" s="12">
        <v>2</v>
      </c>
    </row>
    <row r="11" spans="2:9">
      <c r="B11" s="17"/>
      <c r="D11" s="30"/>
      <c r="E11" s="31"/>
      <c r="F11" s="20"/>
      <c r="G11" s="26"/>
      <c r="I11" s="27"/>
    </row>
    <row r="12" spans="2:9">
      <c r="B12" s="49" t="s">
        <v>148</v>
      </c>
      <c r="C12" s="41" t="s">
        <v>149</v>
      </c>
      <c r="D12" s="11"/>
      <c r="E12" s="47"/>
      <c r="G12" s="14"/>
      <c r="I12" s="16">
        <f>SUM(I13:I22)</f>
        <v>10</v>
      </c>
    </row>
    <row r="13" spans="2:9">
      <c r="B13" s="17"/>
      <c r="C13" s="33"/>
      <c r="D13" s="11"/>
      <c r="E13" s="10" t="s">
        <v>150</v>
      </c>
      <c r="F13" s="20"/>
      <c r="G13" s="14">
        <v>1</v>
      </c>
      <c r="I13" s="12">
        <v>0</v>
      </c>
    </row>
    <row r="14" spans="2:9">
      <c r="B14" s="17"/>
      <c r="C14" s="33"/>
      <c r="D14" s="46"/>
      <c r="E14" s="19" t="s">
        <v>151</v>
      </c>
      <c r="F14" s="20"/>
      <c r="G14" s="14">
        <v>2</v>
      </c>
      <c r="I14" s="12">
        <v>0</v>
      </c>
    </row>
    <row r="15" spans="2:9">
      <c r="B15" s="17"/>
      <c r="C15" s="33"/>
      <c r="D15" s="46"/>
      <c r="E15" s="19" t="s">
        <v>152</v>
      </c>
      <c r="F15" s="20"/>
      <c r="G15" s="14">
        <v>3</v>
      </c>
      <c r="I15" s="12">
        <v>0</v>
      </c>
    </row>
    <row r="16" spans="2:9">
      <c r="B16" s="17"/>
      <c r="C16" s="33"/>
      <c r="D16" s="46"/>
      <c r="E16" s="19" t="s">
        <v>153</v>
      </c>
      <c r="F16" s="20"/>
      <c r="G16" s="14">
        <v>4</v>
      </c>
      <c r="I16" s="12">
        <v>0</v>
      </c>
    </row>
    <row r="17" spans="2:9">
      <c r="B17" s="17"/>
      <c r="C17" s="33"/>
      <c r="D17" s="46"/>
      <c r="E17" s="19" t="s">
        <v>154</v>
      </c>
      <c r="F17" s="20"/>
      <c r="G17" s="14">
        <v>5</v>
      </c>
      <c r="I17" s="12">
        <v>0</v>
      </c>
    </row>
    <row r="18" spans="2:9">
      <c r="B18" s="17"/>
      <c r="D18" s="18"/>
      <c r="E18" s="19" t="s">
        <v>155</v>
      </c>
      <c r="F18" s="20"/>
      <c r="G18" s="14">
        <v>6</v>
      </c>
      <c r="I18" s="12">
        <v>0</v>
      </c>
    </row>
    <row r="19" spans="2:9">
      <c r="B19" s="17"/>
      <c r="D19" s="22"/>
      <c r="E19" s="19" t="s">
        <v>156</v>
      </c>
      <c r="F19" s="20"/>
      <c r="G19" s="14">
        <v>7</v>
      </c>
      <c r="I19" s="12">
        <v>2</v>
      </c>
    </row>
    <row r="20" spans="2:9">
      <c r="B20" s="17"/>
      <c r="D20" s="22"/>
      <c r="E20" s="19" t="s">
        <v>157</v>
      </c>
      <c r="F20" s="20"/>
      <c r="G20" s="14">
        <v>8</v>
      </c>
      <c r="I20" s="12">
        <v>2</v>
      </c>
    </row>
    <row r="21" spans="2:9">
      <c r="B21" s="17"/>
      <c r="D21" s="24"/>
      <c r="E21" s="19" t="s">
        <v>158</v>
      </c>
      <c r="F21" s="20"/>
      <c r="G21" s="14">
        <v>9</v>
      </c>
      <c r="I21" s="12">
        <v>4</v>
      </c>
    </row>
    <row r="22" spans="2:9">
      <c r="B22" s="17"/>
      <c r="D22" s="11"/>
      <c r="E22" s="19" t="s">
        <v>159</v>
      </c>
      <c r="F22" s="20"/>
      <c r="G22" s="14">
        <v>10</v>
      </c>
      <c r="I22" s="12">
        <v>2</v>
      </c>
    </row>
    <row r="23" spans="2:9">
      <c r="B23" s="17"/>
      <c r="D23" s="30"/>
      <c r="E23" s="31"/>
      <c r="F23" s="20"/>
      <c r="G23" s="26"/>
      <c r="I23" s="27"/>
    </row>
    <row r="24" spans="2:9">
      <c r="B24" s="50" t="s">
        <v>160</v>
      </c>
      <c r="C24" s="10" t="s">
        <v>161</v>
      </c>
      <c r="D24" s="11"/>
      <c r="E24" s="47"/>
      <c r="G24" s="14"/>
      <c r="I24" s="16">
        <f>SUM(I25:I34)</f>
        <v>11</v>
      </c>
    </row>
    <row r="25" spans="2:9">
      <c r="B25" s="17"/>
      <c r="D25" s="18"/>
      <c r="E25" s="19" t="s">
        <v>162</v>
      </c>
      <c r="F25" s="20"/>
      <c r="G25" s="14">
        <v>1</v>
      </c>
      <c r="I25" s="12">
        <v>0</v>
      </c>
    </row>
    <row r="26" spans="2:9">
      <c r="B26" s="17"/>
      <c r="D26" s="18"/>
      <c r="E26" s="19" t="s">
        <v>163</v>
      </c>
      <c r="F26" s="20"/>
      <c r="G26" s="14">
        <v>2</v>
      </c>
      <c r="I26" s="12">
        <v>0</v>
      </c>
    </row>
    <row r="27" spans="2:9">
      <c r="B27" s="17"/>
      <c r="D27" s="18"/>
      <c r="E27" s="19" t="s">
        <v>164</v>
      </c>
      <c r="F27" s="20"/>
      <c r="G27" s="14">
        <v>3</v>
      </c>
      <c r="I27" s="12">
        <v>0</v>
      </c>
    </row>
    <row r="28" spans="2:9">
      <c r="B28" s="17"/>
      <c r="D28" s="18"/>
      <c r="E28" s="19" t="s">
        <v>165</v>
      </c>
      <c r="F28" s="20"/>
      <c r="G28" s="14">
        <v>4</v>
      </c>
      <c r="I28" s="12">
        <v>0</v>
      </c>
    </row>
    <row r="29" spans="2:9">
      <c r="B29" s="17"/>
      <c r="D29" s="18"/>
      <c r="E29" s="19" t="s">
        <v>166</v>
      </c>
      <c r="F29" s="20"/>
      <c r="G29" s="14">
        <v>5</v>
      </c>
      <c r="I29" s="12">
        <v>0</v>
      </c>
    </row>
    <row r="30" spans="2:9">
      <c r="B30" s="17"/>
      <c r="D30" s="22"/>
      <c r="E30" s="19" t="s">
        <v>167</v>
      </c>
      <c r="F30" s="20"/>
      <c r="G30" s="14">
        <v>6</v>
      </c>
      <c r="I30" s="12">
        <v>4</v>
      </c>
    </row>
    <row r="31" spans="2:9">
      <c r="B31" s="17"/>
      <c r="D31" s="22"/>
      <c r="E31" s="19" t="s">
        <v>168</v>
      </c>
      <c r="F31" s="20"/>
      <c r="G31" s="14">
        <v>7</v>
      </c>
      <c r="I31" s="12">
        <v>2</v>
      </c>
    </row>
    <row r="32" spans="2:9">
      <c r="B32" s="17"/>
      <c r="D32" s="22"/>
      <c r="E32" s="19" t="s">
        <v>169</v>
      </c>
      <c r="F32" s="20"/>
      <c r="G32" s="14">
        <v>8</v>
      </c>
      <c r="I32" s="12">
        <v>3</v>
      </c>
    </row>
    <row r="33" spans="2:9">
      <c r="B33" s="17"/>
      <c r="D33" s="24"/>
      <c r="E33" s="19" t="s">
        <v>170</v>
      </c>
      <c r="F33" s="20"/>
      <c r="G33" s="14">
        <v>9</v>
      </c>
      <c r="I33" s="12">
        <v>0</v>
      </c>
    </row>
    <row r="34" spans="2:9">
      <c r="B34" s="17"/>
      <c r="D34" s="11"/>
      <c r="E34" s="19" t="s">
        <v>171</v>
      </c>
      <c r="F34" s="20"/>
      <c r="G34" s="14">
        <v>10</v>
      </c>
      <c r="I34" s="12">
        <v>2</v>
      </c>
    </row>
    <row r="35" spans="2:9">
      <c r="B35" s="17"/>
      <c r="D35" s="30"/>
      <c r="E35" s="31"/>
      <c r="F35" s="20"/>
      <c r="G35" s="26"/>
      <c r="I35" s="27"/>
    </row>
    <row r="36" spans="2:9">
      <c r="B36" s="49">
        <v>14</v>
      </c>
      <c r="C36" s="41" t="s">
        <v>172</v>
      </c>
      <c r="D36" s="11"/>
      <c r="E36" s="12"/>
      <c r="G36" s="14"/>
      <c r="I36" s="16">
        <f>SUM(I37:I43)</f>
        <v>13</v>
      </c>
    </row>
    <row r="37" spans="2:9">
      <c r="B37" s="17"/>
      <c r="D37" s="47"/>
      <c r="E37" s="19" t="s">
        <v>173</v>
      </c>
      <c r="F37" s="20"/>
      <c r="G37" s="14">
        <v>1</v>
      </c>
      <c r="I37" s="12">
        <v>0</v>
      </c>
    </row>
    <row r="38" spans="2:9">
      <c r="B38" s="17"/>
      <c r="D38" s="47"/>
      <c r="E38" s="19" t="s">
        <v>174</v>
      </c>
      <c r="F38" s="20"/>
      <c r="G38" s="14">
        <v>2</v>
      </c>
      <c r="I38" s="12">
        <v>0</v>
      </c>
    </row>
    <row r="39" spans="2:9">
      <c r="B39" s="17"/>
      <c r="D39" s="47"/>
      <c r="E39" s="19" t="s">
        <v>175</v>
      </c>
      <c r="F39" s="20"/>
      <c r="G39" s="14">
        <v>3</v>
      </c>
      <c r="I39" s="12">
        <v>3</v>
      </c>
    </row>
    <row r="40" spans="2:9">
      <c r="B40" s="17"/>
      <c r="D40" s="47"/>
      <c r="E40" s="19" t="s">
        <v>176</v>
      </c>
      <c r="F40" s="20"/>
      <c r="G40" s="14">
        <v>4</v>
      </c>
      <c r="I40" s="12">
        <v>0</v>
      </c>
    </row>
    <row r="41" spans="2:9">
      <c r="B41" s="17"/>
      <c r="D41" s="47"/>
      <c r="E41" s="19" t="s">
        <v>177</v>
      </c>
      <c r="F41" s="20"/>
      <c r="G41" s="14">
        <v>5</v>
      </c>
      <c r="I41" s="12">
        <v>5</v>
      </c>
    </row>
    <row r="42" spans="2:9">
      <c r="B42" s="17"/>
      <c r="D42" s="51"/>
      <c r="E42" s="52" t="s">
        <v>178</v>
      </c>
      <c r="F42" s="20"/>
      <c r="G42" s="14">
        <v>6</v>
      </c>
      <c r="I42" s="12">
        <v>4</v>
      </c>
    </row>
    <row r="43" spans="2:9">
      <c r="B43" s="53"/>
      <c r="C43" s="40"/>
      <c r="D43" s="11"/>
      <c r="E43" s="19" t="s">
        <v>179</v>
      </c>
      <c r="F43" s="20"/>
      <c r="G43" s="14">
        <v>7</v>
      </c>
      <c r="I43" s="12">
        <v>1</v>
      </c>
    </row>
    <row r="44" spans="2:9">
      <c r="B44" s="53"/>
      <c r="C44" s="40"/>
      <c r="D44" s="30"/>
      <c r="E44" s="31"/>
      <c r="F44" s="20"/>
      <c r="G44" s="26"/>
      <c r="I44" s="27"/>
    </row>
    <row r="45" spans="2:9">
      <c r="B45" s="49">
        <v>21</v>
      </c>
      <c r="C45" s="41" t="s">
        <v>180</v>
      </c>
      <c r="D45" s="47"/>
      <c r="E45" s="12"/>
      <c r="G45" s="14"/>
      <c r="I45" s="16">
        <f>SUM(I46:I53)</f>
        <v>14</v>
      </c>
    </row>
    <row r="46" spans="2:9">
      <c r="B46" s="17"/>
      <c r="D46" s="47"/>
      <c r="E46" s="19" t="s">
        <v>181</v>
      </c>
      <c r="F46" s="20"/>
      <c r="G46" s="14">
        <v>1</v>
      </c>
      <c r="I46" s="12">
        <v>4</v>
      </c>
    </row>
    <row r="47" spans="2:9">
      <c r="B47" s="17"/>
      <c r="D47" s="47"/>
      <c r="E47" s="19" t="s">
        <v>182</v>
      </c>
      <c r="F47" s="20"/>
      <c r="G47" s="14">
        <v>2</v>
      </c>
      <c r="I47" s="12">
        <v>1</v>
      </c>
    </row>
    <row r="48" spans="2:9">
      <c r="B48" s="17"/>
      <c r="D48" s="47"/>
      <c r="E48" s="19" t="s">
        <v>183</v>
      </c>
      <c r="F48" s="20"/>
      <c r="G48" s="14">
        <v>3</v>
      </c>
      <c r="I48" s="12">
        <v>4</v>
      </c>
    </row>
    <row r="49" spans="2:9">
      <c r="B49" s="17"/>
      <c r="D49" s="47"/>
      <c r="E49" s="19" t="s">
        <v>184</v>
      </c>
      <c r="F49" s="20"/>
      <c r="G49" s="14">
        <v>4</v>
      </c>
      <c r="I49" s="12">
        <v>3</v>
      </c>
    </row>
    <row r="50" spans="2:9">
      <c r="B50" s="17"/>
      <c r="D50" s="47"/>
      <c r="E50" s="19" t="s">
        <v>185</v>
      </c>
      <c r="F50" s="20"/>
      <c r="G50" s="14">
        <v>5</v>
      </c>
      <c r="I50" s="12">
        <v>1</v>
      </c>
    </row>
    <row r="51" spans="2:9">
      <c r="B51" s="17"/>
      <c r="D51" s="47"/>
      <c r="E51" s="19" t="s">
        <v>186</v>
      </c>
      <c r="F51" s="20"/>
      <c r="G51" s="14">
        <v>6</v>
      </c>
      <c r="I51" s="12">
        <v>1</v>
      </c>
    </row>
    <row r="52" spans="2:9">
      <c r="B52" s="17"/>
      <c r="D52" s="47"/>
      <c r="E52" s="19" t="s">
        <v>187</v>
      </c>
      <c r="F52" s="20"/>
      <c r="G52" s="14">
        <v>7</v>
      </c>
      <c r="I52" s="12">
        <v>0</v>
      </c>
    </row>
    <row r="53" spans="2:9">
      <c r="B53" s="34"/>
      <c r="C53" s="35"/>
      <c r="D53" s="47"/>
      <c r="E53" s="19" t="s">
        <v>188</v>
      </c>
      <c r="F53" s="36"/>
      <c r="G53" s="14">
        <v>8</v>
      </c>
      <c r="H53" s="35"/>
      <c r="I53" s="12">
        <v>0</v>
      </c>
    </row>
    <row r="54" spans="2:9">
      <c r="B54" s="39"/>
      <c r="D54" s="30"/>
      <c r="E54" s="31"/>
      <c r="F54" s="20"/>
    </row>
    <row r="55" spans="2:9">
      <c r="D55" s="30"/>
      <c r="E55" s="31"/>
      <c r="F55" s="20"/>
      <c r="G55" s="92" t="s">
        <v>138</v>
      </c>
      <c r="H55" s="92"/>
      <c r="I55" s="16">
        <f>SUM(I4,I12,I24,I36,I45)</f>
        <v>59</v>
      </c>
    </row>
  </sheetData>
  <mergeCells count="2">
    <mergeCell ref="B3:D3"/>
    <mergeCell ref="G55:H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4"/>
  <sheetViews>
    <sheetView workbookViewId="0">
      <selection activeCell="B2" sqref="B2"/>
    </sheetView>
  </sheetViews>
  <sheetFormatPr defaultColWidth="8.81640625" defaultRowHeight="14.5"/>
  <sheetData>
    <row r="1" spans="2:9" s="40" customFormat="1">
      <c r="B1" s="89" t="s">
        <v>189</v>
      </c>
      <c r="C1" s="89"/>
      <c r="D1" s="89"/>
      <c r="E1" s="89"/>
    </row>
    <row r="2" spans="2:9" s="1" customFormat="1" ht="34.9" customHeight="1">
      <c r="B2" s="4" t="s">
        <v>1</v>
      </c>
      <c r="C2" s="5" t="s">
        <v>2</v>
      </c>
      <c r="D2" s="5"/>
      <c r="E2" s="6" t="s">
        <v>3</v>
      </c>
      <c r="F2" s="7"/>
      <c r="G2" s="4" t="s">
        <v>4</v>
      </c>
      <c r="I2" s="4" t="s">
        <v>5</v>
      </c>
    </row>
    <row r="4" spans="2:9">
      <c r="B4" s="86" t="s">
        <v>190</v>
      </c>
      <c r="C4" s="10" t="s">
        <v>191</v>
      </c>
      <c r="D4" s="11"/>
      <c r="E4" s="12"/>
      <c r="F4" s="3"/>
      <c r="G4" s="12"/>
      <c r="I4" s="16">
        <v>0</v>
      </c>
    </row>
    <row r="5" spans="2:9">
      <c r="C5" s="42" t="s">
        <v>192</v>
      </c>
      <c r="D5" s="18"/>
      <c r="E5" s="12"/>
      <c r="F5" s="20"/>
      <c r="G5" s="43"/>
      <c r="I5" s="44"/>
    </row>
    <row r="6" spans="2:9">
      <c r="D6" s="18"/>
      <c r="E6" s="19" t="s">
        <v>193</v>
      </c>
      <c r="F6" s="20"/>
      <c r="G6" s="87" t="s">
        <v>9</v>
      </c>
      <c r="I6" s="12"/>
    </row>
    <row r="7" spans="2:9">
      <c r="D7" s="18"/>
      <c r="E7" s="19" t="s">
        <v>194</v>
      </c>
      <c r="F7" s="20"/>
      <c r="G7" s="88" t="s">
        <v>11</v>
      </c>
      <c r="I7" s="12"/>
    </row>
    <row r="8" spans="2:9">
      <c r="D8" s="18"/>
      <c r="E8" s="19" t="s">
        <v>195</v>
      </c>
      <c r="F8" s="20"/>
      <c r="G8" s="87" t="s">
        <v>13</v>
      </c>
      <c r="I8" s="12"/>
    </row>
    <row r="9" spans="2:9">
      <c r="D9" s="18"/>
      <c r="E9" s="19" t="s">
        <v>196</v>
      </c>
      <c r="F9" s="20"/>
      <c r="G9" s="88" t="s">
        <v>15</v>
      </c>
      <c r="I9" s="12"/>
    </row>
    <row r="10" spans="2:9">
      <c r="D10" s="18"/>
      <c r="E10" s="19" t="s">
        <v>197</v>
      </c>
      <c r="F10" s="20"/>
      <c r="G10" s="87" t="s">
        <v>17</v>
      </c>
      <c r="I10" s="12"/>
    </row>
    <row r="11" spans="2:9">
      <c r="D11" s="18"/>
      <c r="E11" s="19" t="s">
        <v>198</v>
      </c>
      <c r="F11" s="20"/>
      <c r="G11" s="88" t="s">
        <v>19</v>
      </c>
      <c r="I11" s="12"/>
    </row>
    <row r="12" spans="2:9">
      <c r="D12" s="18"/>
      <c r="E12" s="19" t="s">
        <v>199</v>
      </c>
      <c r="F12" s="20"/>
      <c r="G12" s="87" t="s">
        <v>21</v>
      </c>
      <c r="I12" s="12"/>
    </row>
    <row r="13" spans="2:9">
      <c r="C13" s="42" t="s">
        <v>200</v>
      </c>
      <c r="D13" s="18"/>
      <c r="E13" s="19"/>
      <c r="F13" s="20"/>
      <c r="G13" s="12"/>
      <c r="I13" s="44"/>
    </row>
    <row r="14" spans="2:9">
      <c r="D14" s="22"/>
      <c r="E14" s="19" t="s">
        <v>201</v>
      </c>
      <c r="F14" s="20"/>
      <c r="G14" s="19" t="s">
        <v>32</v>
      </c>
      <c r="I14" s="12"/>
    </row>
    <row r="15" spans="2:9">
      <c r="D15" s="24"/>
      <c r="E15" s="19" t="s">
        <v>202</v>
      </c>
      <c r="F15" s="20"/>
      <c r="G15" s="19" t="s">
        <v>75</v>
      </c>
      <c r="I15" s="12"/>
    </row>
    <row r="16" spans="2:9">
      <c r="D16" s="24"/>
      <c r="E16" s="19" t="s">
        <v>191</v>
      </c>
      <c r="F16" s="20"/>
      <c r="G16" s="19" t="s">
        <v>77</v>
      </c>
      <c r="I16" s="12"/>
    </row>
    <row r="17" spans="3:9">
      <c r="D17" s="24"/>
      <c r="E17" s="19" t="s">
        <v>203</v>
      </c>
      <c r="F17" s="20"/>
      <c r="G17" s="19" t="s">
        <v>79</v>
      </c>
      <c r="I17" s="12"/>
    </row>
    <row r="18" spans="3:9">
      <c r="D18" s="24"/>
      <c r="E18" s="19" t="s">
        <v>204</v>
      </c>
      <c r="F18" s="20"/>
      <c r="G18" s="19" t="s">
        <v>81</v>
      </c>
      <c r="I18" s="12"/>
    </row>
    <row r="19" spans="3:9">
      <c r="D19" s="24"/>
      <c r="E19" s="19" t="s">
        <v>205</v>
      </c>
      <c r="F19" s="20"/>
      <c r="G19" s="19" t="s">
        <v>83</v>
      </c>
      <c r="I19" s="45"/>
    </row>
    <row r="20" spans="3:9">
      <c r="D20" s="24"/>
      <c r="E20" s="19" t="s">
        <v>206</v>
      </c>
      <c r="F20" s="20"/>
      <c r="G20" s="19" t="s">
        <v>85</v>
      </c>
      <c r="I20" s="12"/>
    </row>
    <row r="21" spans="3:9">
      <c r="C21" s="42" t="s">
        <v>207</v>
      </c>
      <c r="D21" s="24"/>
      <c r="E21" s="19"/>
      <c r="F21" s="20"/>
      <c r="G21" s="12"/>
      <c r="I21" s="44"/>
    </row>
    <row r="22" spans="3:9">
      <c r="D22" s="46"/>
      <c r="E22" s="19" t="s">
        <v>208</v>
      </c>
      <c r="F22" s="20"/>
      <c r="G22" s="77" t="s">
        <v>209</v>
      </c>
      <c r="I22" s="12"/>
    </row>
    <row r="23" spans="3:9">
      <c r="D23" s="46"/>
      <c r="E23" s="19" t="s">
        <v>210</v>
      </c>
      <c r="F23" s="20"/>
      <c r="G23" s="77" t="s">
        <v>211</v>
      </c>
      <c r="I23" s="12"/>
    </row>
    <row r="24" spans="3:9">
      <c r="D24" s="46"/>
      <c r="E24" s="19" t="s">
        <v>212</v>
      </c>
      <c r="F24" s="20"/>
      <c r="G24" s="77" t="s">
        <v>213</v>
      </c>
      <c r="I24" s="12"/>
    </row>
    <row r="25" spans="3:9">
      <c r="D25" s="46"/>
      <c r="E25" s="19" t="s">
        <v>214</v>
      </c>
      <c r="F25" s="20"/>
      <c r="G25" s="77" t="s">
        <v>215</v>
      </c>
      <c r="I25" s="12"/>
    </row>
    <row r="26" spans="3:9">
      <c r="D26" s="46"/>
      <c r="E26" s="19" t="s">
        <v>216</v>
      </c>
      <c r="F26" s="20"/>
      <c r="G26" s="77" t="s">
        <v>217</v>
      </c>
      <c r="I26" s="12"/>
    </row>
    <row r="27" spans="3:9">
      <c r="C27" s="42" t="s">
        <v>218</v>
      </c>
      <c r="D27" s="11"/>
      <c r="E27" s="19"/>
      <c r="F27" s="20"/>
      <c r="G27" s="12"/>
      <c r="I27" s="44"/>
    </row>
    <row r="28" spans="3:9">
      <c r="D28" s="11"/>
      <c r="E28" s="19" t="s">
        <v>219</v>
      </c>
      <c r="F28" s="20"/>
      <c r="G28" s="77" t="s">
        <v>220</v>
      </c>
      <c r="I28" s="12"/>
    </row>
    <row r="29" spans="3:9">
      <c r="D29" s="11"/>
      <c r="E29" s="19" t="s">
        <v>221</v>
      </c>
      <c r="F29" s="20"/>
      <c r="G29" s="77" t="s">
        <v>222</v>
      </c>
      <c r="I29" s="12"/>
    </row>
    <row r="30" spans="3:9">
      <c r="D30" s="11"/>
      <c r="E30" s="19" t="s">
        <v>223</v>
      </c>
      <c r="F30" s="20"/>
      <c r="G30" s="77" t="s">
        <v>224</v>
      </c>
      <c r="I30" s="12"/>
    </row>
    <row r="31" spans="3:9">
      <c r="D31" s="11"/>
      <c r="E31" s="19" t="s">
        <v>225</v>
      </c>
      <c r="F31" s="20"/>
      <c r="G31" s="77" t="s">
        <v>226</v>
      </c>
      <c r="I31" s="12"/>
    </row>
    <row r="32" spans="3:9">
      <c r="D32" s="11"/>
      <c r="E32" s="19" t="s">
        <v>227</v>
      </c>
      <c r="F32" s="20"/>
      <c r="G32" s="77" t="s">
        <v>228</v>
      </c>
      <c r="I32" s="12"/>
    </row>
    <row r="33" spans="2:9">
      <c r="D33" s="30"/>
      <c r="E33" s="31"/>
      <c r="F33" s="20"/>
    </row>
    <row r="34" spans="2:9">
      <c r="B34" s="83" t="s">
        <v>229</v>
      </c>
      <c r="C34" s="41" t="s">
        <v>230</v>
      </c>
      <c r="D34" s="11"/>
      <c r="E34" s="12"/>
      <c r="F34" s="3"/>
      <c r="G34" s="12"/>
      <c r="I34" s="16">
        <f>SUM(I35:I46)</f>
        <v>15</v>
      </c>
    </row>
    <row r="35" spans="2:9">
      <c r="D35" s="18"/>
      <c r="E35" s="19" t="s">
        <v>231</v>
      </c>
      <c r="F35" s="20"/>
      <c r="G35" s="79" t="s">
        <v>9</v>
      </c>
      <c r="I35" s="12">
        <v>0</v>
      </c>
    </row>
    <row r="36" spans="2:9">
      <c r="D36" s="22"/>
      <c r="E36" s="19" t="s">
        <v>232</v>
      </c>
      <c r="F36" s="20"/>
      <c r="G36" s="81" t="s">
        <v>11</v>
      </c>
      <c r="I36" s="12">
        <v>0</v>
      </c>
    </row>
    <row r="37" spans="2:9">
      <c r="D37" s="22"/>
      <c r="E37" s="19" t="s">
        <v>233</v>
      </c>
      <c r="F37" s="20"/>
      <c r="G37" s="81" t="s">
        <v>13</v>
      </c>
      <c r="I37" s="12">
        <v>0</v>
      </c>
    </row>
    <row r="38" spans="2:9">
      <c r="D38" s="22"/>
      <c r="E38" s="19" t="s">
        <v>234</v>
      </c>
      <c r="F38" s="20"/>
      <c r="G38" s="81" t="s">
        <v>15</v>
      </c>
      <c r="I38" s="12">
        <v>1</v>
      </c>
    </row>
    <row r="39" spans="2:9">
      <c r="D39" s="22"/>
      <c r="E39" s="19" t="s">
        <v>235</v>
      </c>
      <c r="F39" s="20"/>
      <c r="G39" s="81" t="s">
        <v>17</v>
      </c>
      <c r="I39" s="12">
        <v>0</v>
      </c>
    </row>
    <row r="40" spans="2:9">
      <c r="D40" s="22"/>
      <c r="E40" s="19" t="s">
        <v>236</v>
      </c>
      <c r="F40" s="20"/>
      <c r="G40" s="81" t="s">
        <v>19</v>
      </c>
      <c r="I40" s="12">
        <v>1</v>
      </c>
    </row>
    <row r="41" spans="2:9">
      <c r="D41" s="22"/>
      <c r="E41" s="19" t="s">
        <v>237</v>
      </c>
      <c r="F41" s="20"/>
      <c r="G41" s="81" t="s">
        <v>21</v>
      </c>
      <c r="I41" s="12">
        <v>3</v>
      </c>
    </row>
    <row r="42" spans="2:9">
      <c r="D42" s="22"/>
      <c r="E42" s="19" t="s">
        <v>238</v>
      </c>
      <c r="F42" s="20"/>
      <c r="G42" s="81" t="s">
        <v>32</v>
      </c>
      <c r="I42" s="12">
        <v>4</v>
      </c>
    </row>
    <row r="43" spans="2:9">
      <c r="D43" s="22"/>
      <c r="E43" s="19" t="s">
        <v>239</v>
      </c>
      <c r="F43" s="20"/>
      <c r="G43" s="81" t="s">
        <v>75</v>
      </c>
      <c r="I43" s="12">
        <v>2</v>
      </c>
    </row>
    <row r="44" spans="2:9">
      <c r="D44" s="24"/>
      <c r="E44" s="19" t="s">
        <v>240</v>
      </c>
      <c r="F44" s="20"/>
      <c r="G44" s="81" t="s">
        <v>77</v>
      </c>
      <c r="I44" s="12">
        <v>1</v>
      </c>
    </row>
    <row r="45" spans="2:9">
      <c r="D45" s="11"/>
      <c r="E45" s="19" t="s">
        <v>241</v>
      </c>
      <c r="F45" s="20"/>
      <c r="G45" s="81" t="s">
        <v>79</v>
      </c>
      <c r="I45" s="12">
        <v>3</v>
      </c>
    </row>
    <row r="46" spans="2:9">
      <c r="D46" s="11"/>
      <c r="E46" s="19" t="s">
        <v>242</v>
      </c>
      <c r="F46" s="20"/>
      <c r="G46" s="81" t="s">
        <v>81</v>
      </c>
      <c r="I46" s="12">
        <v>0</v>
      </c>
    </row>
    <row r="47" spans="2:9">
      <c r="D47" s="30"/>
      <c r="E47" s="31"/>
      <c r="F47" s="20"/>
    </row>
    <row r="48" spans="2:9">
      <c r="B48" s="83" t="s">
        <v>243</v>
      </c>
      <c r="C48" s="41" t="s">
        <v>244</v>
      </c>
      <c r="D48" s="11"/>
      <c r="E48" s="12"/>
      <c r="F48" s="3"/>
      <c r="G48" s="12"/>
      <c r="I48" s="16">
        <f>SUM(I49:I54)</f>
        <v>17</v>
      </c>
    </row>
    <row r="49" spans="2:9">
      <c r="D49" s="18"/>
      <c r="E49" s="19" t="s">
        <v>245</v>
      </c>
      <c r="F49" s="20"/>
      <c r="G49" s="79" t="s">
        <v>9</v>
      </c>
      <c r="I49" s="12">
        <v>4</v>
      </c>
    </row>
    <row r="50" spans="2:9">
      <c r="D50" s="22"/>
      <c r="E50" s="19" t="s">
        <v>246</v>
      </c>
      <c r="F50" s="20"/>
      <c r="G50" s="79" t="s">
        <v>11</v>
      </c>
      <c r="I50" s="12">
        <v>4</v>
      </c>
    </row>
    <row r="51" spans="2:9">
      <c r="D51" s="22"/>
      <c r="E51" s="19" t="s">
        <v>247</v>
      </c>
      <c r="F51" s="20"/>
      <c r="G51" s="79" t="s">
        <v>13</v>
      </c>
      <c r="I51" s="12">
        <v>3</v>
      </c>
    </row>
    <row r="52" spans="2:9">
      <c r="D52" s="24"/>
      <c r="E52" s="19" t="s">
        <v>248</v>
      </c>
      <c r="F52" s="20"/>
      <c r="G52" s="79" t="s">
        <v>15</v>
      </c>
      <c r="I52" s="12">
        <v>0</v>
      </c>
    </row>
    <row r="53" spans="2:9">
      <c r="D53" s="24"/>
      <c r="E53" s="19" t="s">
        <v>249</v>
      </c>
      <c r="F53" s="20"/>
      <c r="G53" s="79" t="s">
        <v>17</v>
      </c>
      <c r="I53" s="12">
        <v>3</v>
      </c>
    </row>
    <row r="54" spans="2:9">
      <c r="D54" s="11"/>
      <c r="E54" s="19" t="s">
        <v>250</v>
      </c>
      <c r="F54" s="20"/>
      <c r="G54" s="79" t="s">
        <v>19</v>
      </c>
      <c r="I54" s="12">
        <v>3</v>
      </c>
    </row>
    <row r="55" spans="2:9">
      <c r="D55" s="30"/>
      <c r="E55" s="31"/>
      <c r="F55" s="20"/>
    </row>
    <row r="56" spans="2:9">
      <c r="B56" s="83" t="s">
        <v>251</v>
      </c>
      <c r="C56" s="41" t="s">
        <v>252</v>
      </c>
      <c r="D56" s="11"/>
      <c r="E56" s="12"/>
      <c r="F56" s="3"/>
      <c r="G56" s="12"/>
      <c r="I56" s="16">
        <f>SUM(I57:I63)</f>
        <v>17</v>
      </c>
    </row>
    <row r="57" spans="2:9">
      <c r="D57" s="11"/>
      <c r="E57" s="19" t="s">
        <v>253</v>
      </c>
      <c r="F57" s="20"/>
      <c r="G57" s="77" t="s">
        <v>9</v>
      </c>
      <c r="I57" s="12">
        <v>0</v>
      </c>
    </row>
    <row r="58" spans="2:9">
      <c r="D58" s="18"/>
      <c r="E58" s="19" t="s">
        <v>254</v>
      </c>
      <c r="F58" s="20"/>
      <c r="G58" s="77" t="s">
        <v>11</v>
      </c>
      <c r="I58" s="12">
        <v>7</v>
      </c>
    </row>
    <row r="59" spans="2:9">
      <c r="D59" s="22"/>
      <c r="E59" s="19" t="s">
        <v>255</v>
      </c>
      <c r="F59" s="20"/>
      <c r="G59" s="77" t="s">
        <v>13</v>
      </c>
      <c r="I59" s="12">
        <v>1</v>
      </c>
    </row>
    <row r="60" spans="2:9">
      <c r="D60" s="22"/>
      <c r="E60" s="19" t="s">
        <v>256</v>
      </c>
      <c r="F60" s="20"/>
      <c r="G60" s="77" t="s">
        <v>15</v>
      </c>
      <c r="I60" s="12">
        <v>1</v>
      </c>
    </row>
    <row r="61" spans="2:9">
      <c r="D61" s="24"/>
      <c r="E61" s="19" t="s">
        <v>257</v>
      </c>
      <c r="F61" s="20"/>
      <c r="G61" s="77" t="s">
        <v>17</v>
      </c>
      <c r="I61" s="12">
        <v>4</v>
      </c>
    </row>
    <row r="62" spans="2:9">
      <c r="D62" s="11"/>
      <c r="E62" s="19" t="s">
        <v>258</v>
      </c>
      <c r="F62" s="20"/>
      <c r="G62" s="77" t="s">
        <v>19</v>
      </c>
      <c r="I62" s="12">
        <v>4</v>
      </c>
    </row>
    <row r="63" spans="2:9">
      <c r="D63" s="11"/>
      <c r="E63" s="19" t="s">
        <v>259</v>
      </c>
      <c r="F63" s="20"/>
      <c r="G63" s="77" t="s">
        <v>21</v>
      </c>
      <c r="I63" s="12">
        <v>0</v>
      </c>
    </row>
    <row r="64" spans="2:9">
      <c r="D64" s="30"/>
      <c r="E64" s="31"/>
      <c r="F64" s="20"/>
    </row>
    <row r="65" spans="2:9">
      <c r="B65" s="83" t="s">
        <v>260</v>
      </c>
      <c r="C65" s="41" t="s">
        <v>261</v>
      </c>
      <c r="D65" s="11"/>
      <c r="E65" s="47"/>
      <c r="F65" s="3"/>
      <c r="G65" s="12"/>
      <c r="I65" s="16">
        <f>SUM(I66:I74)</f>
        <v>11</v>
      </c>
    </row>
    <row r="66" spans="2:9">
      <c r="D66" s="18"/>
      <c r="E66" s="19" t="s">
        <v>262</v>
      </c>
      <c r="F66" s="20"/>
      <c r="G66" s="79" t="s">
        <v>9</v>
      </c>
      <c r="I66" s="12">
        <v>0</v>
      </c>
    </row>
    <row r="67" spans="2:9">
      <c r="D67" s="18"/>
      <c r="E67" s="19" t="s">
        <v>263</v>
      </c>
      <c r="F67" s="20"/>
      <c r="G67" s="79" t="s">
        <v>11</v>
      </c>
      <c r="I67" s="12">
        <v>0</v>
      </c>
    </row>
    <row r="68" spans="2:9">
      <c r="D68" s="22"/>
      <c r="E68" s="19" t="s">
        <v>264</v>
      </c>
      <c r="F68" s="20"/>
      <c r="G68" s="79" t="s">
        <v>13</v>
      </c>
      <c r="I68" s="12">
        <v>0</v>
      </c>
    </row>
    <row r="69" spans="2:9">
      <c r="D69" s="22"/>
      <c r="E69" s="19" t="s">
        <v>265</v>
      </c>
      <c r="F69" s="20"/>
      <c r="G69" s="79" t="s">
        <v>15</v>
      </c>
      <c r="I69" s="12">
        <v>0</v>
      </c>
    </row>
    <row r="70" spans="2:9">
      <c r="D70" s="22"/>
      <c r="E70" s="19" t="s">
        <v>266</v>
      </c>
      <c r="F70" s="20"/>
      <c r="G70" s="79" t="s">
        <v>17</v>
      </c>
      <c r="I70" s="12">
        <v>2</v>
      </c>
    </row>
    <row r="71" spans="2:9">
      <c r="D71" s="22"/>
      <c r="E71" s="19" t="s">
        <v>267</v>
      </c>
      <c r="F71" s="20"/>
      <c r="G71" s="79" t="s">
        <v>19</v>
      </c>
      <c r="I71" s="12">
        <v>3</v>
      </c>
    </row>
    <row r="72" spans="2:9">
      <c r="D72" s="22"/>
      <c r="E72" s="19" t="s">
        <v>268</v>
      </c>
      <c r="F72" s="20"/>
      <c r="G72" s="79" t="s">
        <v>21</v>
      </c>
      <c r="I72" s="12">
        <v>2</v>
      </c>
    </row>
    <row r="73" spans="2:9">
      <c r="D73" s="24"/>
      <c r="E73" s="19" t="s">
        <v>269</v>
      </c>
      <c r="F73" s="20"/>
      <c r="G73" s="79" t="s">
        <v>32</v>
      </c>
      <c r="I73" s="12">
        <v>3</v>
      </c>
    </row>
    <row r="74" spans="2:9">
      <c r="D74" s="11"/>
      <c r="E74" s="19" t="s">
        <v>270</v>
      </c>
      <c r="F74" s="20"/>
      <c r="G74" s="79" t="s">
        <v>75</v>
      </c>
      <c r="I74" s="12">
        <v>1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3"/>
  <sheetViews>
    <sheetView workbookViewId="0">
      <selection activeCell="C9" sqref="C9"/>
    </sheetView>
  </sheetViews>
  <sheetFormatPr defaultColWidth="8.81640625" defaultRowHeight="14.5"/>
  <cols>
    <col min="1" max="1" width="3.54296875" customWidth="1"/>
    <col min="2" max="2" width="4.7265625" customWidth="1"/>
    <col min="3" max="3" width="17.54296875" customWidth="1"/>
    <col min="4" max="4" width="2.453125" customWidth="1"/>
    <col min="5" max="5" width="19.26953125" customWidth="1"/>
    <col min="6" max="6" width="3.26953125" style="3" customWidth="1"/>
    <col min="8" max="8" width="3.7265625" customWidth="1"/>
    <col min="9" max="9" width="13.26953125" customWidth="1"/>
    <col min="10" max="10" width="9.7265625" customWidth="1"/>
  </cols>
  <sheetData>
    <row r="1" spans="2:9" s="1" customFormat="1" ht="34.9" customHeight="1">
      <c r="B1" s="4" t="s">
        <v>1</v>
      </c>
      <c r="C1" s="5" t="s">
        <v>2</v>
      </c>
      <c r="D1" s="5"/>
      <c r="E1" s="6" t="s">
        <v>3</v>
      </c>
      <c r="F1" s="7"/>
      <c r="G1" s="4" t="s">
        <v>4</v>
      </c>
      <c r="I1" s="4" t="s">
        <v>5</v>
      </c>
    </row>
    <row r="2" spans="2:9" s="2" customFormat="1">
      <c r="B2" s="8"/>
      <c r="C2" s="8"/>
      <c r="D2" s="8"/>
      <c r="E2" s="8"/>
      <c r="F2" s="8"/>
      <c r="I2" s="8"/>
    </row>
    <row r="3" spans="2:9" s="2" customFormat="1">
      <c r="B3" s="95" t="s">
        <v>271</v>
      </c>
      <c r="C3" s="96"/>
      <c r="D3" s="96"/>
      <c r="E3" s="8"/>
      <c r="F3" s="8"/>
      <c r="I3" s="8"/>
    </row>
    <row r="4" spans="2:9">
      <c r="B4" s="9">
        <v>6</v>
      </c>
      <c r="C4" s="10" t="s">
        <v>272</v>
      </c>
      <c r="D4" s="11"/>
      <c r="E4" s="12"/>
      <c r="F4" s="13"/>
      <c r="G4" s="14"/>
      <c r="H4" s="15"/>
      <c r="I4" s="16">
        <f>SUM(I5:I10)</f>
        <v>7</v>
      </c>
    </row>
    <row r="5" spans="2:9">
      <c r="B5" s="17"/>
      <c r="D5" s="18"/>
      <c r="E5" s="19" t="s">
        <v>273</v>
      </c>
      <c r="F5" s="20"/>
      <c r="G5" s="21">
        <v>1</v>
      </c>
      <c r="I5" s="12">
        <v>0</v>
      </c>
    </row>
    <row r="6" spans="2:9">
      <c r="B6" s="17"/>
      <c r="D6" s="22"/>
      <c r="E6" s="19" t="s">
        <v>274</v>
      </c>
      <c r="F6" s="20"/>
      <c r="G6" s="23">
        <v>2</v>
      </c>
      <c r="I6" s="12">
        <v>1</v>
      </c>
    </row>
    <row r="7" spans="2:9">
      <c r="B7" s="17"/>
      <c r="D7" s="22"/>
      <c r="E7" s="19" t="s">
        <v>275</v>
      </c>
      <c r="F7" s="20"/>
      <c r="G7" s="21">
        <v>3</v>
      </c>
      <c r="I7" s="12">
        <v>2</v>
      </c>
    </row>
    <row r="8" spans="2:9">
      <c r="B8" s="17"/>
      <c r="D8" s="22"/>
      <c r="E8" s="19" t="s">
        <v>276</v>
      </c>
      <c r="F8" s="20"/>
      <c r="G8" s="23">
        <v>4</v>
      </c>
      <c r="I8" s="12">
        <v>1</v>
      </c>
    </row>
    <row r="9" spans="2:9">
      <c r="B9" s="17"/>
      <c r="D9" s="24"/>
      <c r="E9" s="19" t="s">
        <v>277</v>
      </c>
      <c r="F9" s="20"/>
      <c r="G9" s="21">
        <v>5</v>
      </c>
      <c r="I9" s="12">
        <v>0</v>
      </c>
    </row>
    <row r="10" spans="2:9">
      <c r="B10" s="17"/>
      <c r="D10" s="11"/>
      <c r="E10" s="19" t="s">
        <v>278</v>
      </c>
      <c r="F10" s="20"/>
      <c r="G10" s="23">
        <v>6</v>
      </c>
      <c r="I10" s="12">
        <v>3</v>
      </c>
    </row>
    <row r="11" spans="2:9">
      <c r="B11" s="25"/>
      <c r="F11"/>
      <c r="G11" s="26"/>
      <c r="I11" s="27"/>
    </row>
    <row r="12" spans="2:9">
      <c r="B12" s="28">
        <v>19</v>
      </c>
      <c r="C12" s="10" t="s">
        <v>279</v>
      </c>
      <c r="D12" s="11"/>
      <c r="E12" s="12"/>
      <c r="G12" s="14"/>
      <c r="I12" s="16">
        <f>SUM(I13:I26)</f>
        <v>0</v>
      </c>
    </row>
    <row r="13" spans="2:9">
      <c r="B13" s="17"/>
      <c r="D13" s="18"/>
      <c r="E13" s="19" t="s">
        <v>280</v>
      </c>
      <c r="F13" s="20"/>
      <c r="G13" s="21">
        <v>1</v>
      </c>
      <c r="I13" s="12">
        <v>0</v>
      </c>
    </row>
    <row r="14" spans="2:9" ht="15.5">
      <c r="B14" s="17"/>
      <c r="D14" s="18"/>
      <c r="E14" s="29" t="s">
        <v>281</v>
      </c>
      <c r="F14" s="20"/>
      <c r="G14" s="21">
        <v>2</v>
      </c>
      <c r="I14" s="12"/>
    </row>
    <row r="15" spans="2:9" ht="15.5">
      <c r="B15" s="17"/>
      <c r="D15" s="18"/>
      <c r="E15" s="29" t="s">
        <v>282</v>
      </c>
      <c r="F15" s="20"/>
      <c r="G15" s="21">
        <v>3</v>
      </c>
      <c r="I15" s="12"/>
    </row>
    <row r="16" spans="2:9" ht="15.5">
      <c r="B16" s="17"/>
      <c r="D16" s="18"/>
      <c r="E16" s="29" t="s">
        <v>283</v>
      </c>
      <c r="F16" s="20"/>
      <c r="G16" s="21">
        <v>4</v>
      </c>
      <c r="I16" s="12"/>
    </row>
    <row r="17" spans="2:9" ht="15.5">
      <c r="B17" s="17"/>
      <c r="D17" s="18"/>
      <c r="E17" s="29" t="s">
        <v>284</v>
      </c>
      <c r="F17" s="20"/>
      <c r="G17" s="21">
        <v>5</v>
      </c>
      <c r="I17" s="12"/>
    </row>
    <row r="18" spans="2:9" ht="15.5">
      <c r="B18" s="17"/>
      <c r="D18" s="18"/>
      <c r="E18" s="29" t="s">
        <v>285</v>
      </c>
      <c r="F18" s="20"/>
      <c r="G18" s="21">
        <v>6</v>
      </c>
      <c r="I18" s="12"/>
    </row>
    <row r="19" spans="2:9">
      <c r="B19" s="17"/>
      <c r="D19" s="22"/>
      <c r="E19" s="19" t="s">
        <v>286</v>
      </c>
      <c r="F19" s="20"/>
      <c r="G19" s="21">
        <v>7</v>
      </c>
      <c r="I19" s="12">
        <v>0</v>
      </c>
    </row>
    <row r="20" spans="2:9">
      <c r="B20" s="17"/>
      <c r="D20" s="22"/>
      <c r="E20" s="19" t="s">
        <v>287</v>
      </c>
      <c r="F20" s="20"/>
      <c r="G20" s="21">
        <v>8</v>
      </c>
      <c r="I20" s="12">
        <v>0</v>
      </c>
    </row>
    <row r="21" spans="2:9">
      <c r="B21" s="17"/>
      <c r="D21" s="22"/>
      <c r="E21" s="19" t="s">
        <v>288</v>
      </c>
      <c r="F21" s="20"/>
      <c r="G21" s="21">
        <v>9</v>
      </c>
      <c r="I21" s="12">
        <v>0</v>
      </c>
    </row>
    <row r="22" spans="2:9">
      <c r="B22" s="17"/>
      <c r="D22" s="22"/>
      <c r="E22" s="19" t="s">
        <v>289</v>
      </c>
      <c r="F22" s="20"/>
      <c r="G22" s="21">
        <v>10</v>
      </c>
      <c r="I22" s="12">
        <v>0</v>
      </c>
    </row>
    <row r="23" spans="2:9">
      <c r="B23" s="17"/>
      <c r="D23" s="24"/>
      <c r="E23" s="19" t="s">
        <v>290</v>
      </c>
      <c r="F23" s="20"/>
      <c r="G23" s="21">
        <v>11</v>
      </c>
      <c r="I23" s="12">
        <v>0</v>
      </c>
    </row>
    <row r="24" spans="2:9">
      <c r="B24" s="17"/>
      <c r="D24" s="11"/>
      <c r="E24" s="19" t="s">
        <v>291</v>
      </c>
      <c r="F24" s="20"/>
      <c r="G24" s="21">
        <v>12</v>
      </c>
      <c r="I24" s="12">
        <v>0</v>
      </c>
    </row>
    <row r="25" spans="2:9">
      <c r="B25" s="17"/>
      <c r="D25" s="11"/>
      <c r="E25" s="19" t="s">
        <v>292</v>
      </c>
      <c r="F25" s="20"/>
      <c r="G25" s="21">
        <v>13</v>
      </c>
      <c r="I25" s="12">
        <v>0</v>
      </c>
    </row>
    <row r="26" spans="2:9">
      <c r="B26" s="17"/>
      <c r="D26" s="11"/>
      <c r="E26" s="19" t="s">
        <v>293</v>
      </c>
      <c r="F26" s="20"/>
      <c r="G26" s="21">
        <v>14</v>
      </c>
      <c r="I26" s="12">
        <v>0</v>
      </c>
    </row>
    <row r="27" spans="2:9">
      <c r="B27" s="25"/>
      <c r="F27"/>
      <c r="G27" s="26"/>
      <c r="I27" s="27"/>
    </row>
    <row r="28" spans="2:9">
      <c r="B28" s="28">
        <v>22</v>
      </c>
      <c r="C28" s="10" t="s">
        <v>294</v>
      </c>
      <c r="D28" s="11"/>
      <c r="E28" s="12"/>
      <c r="G28" s="14"/>
      <c r="I28" s="16">
        <f>SUM(I29:I39)</f>
        <v>0</v>
      </c>
    </row>
    <row r="29" spans="2:9">
      <c r="B29" s="17"/>
      <c r="D29" s="18"/>
      <c r="E29" s="19" t="s">
        <v>295</v>
      </c>
      <c r="F29" s="20"/>
      <c r="G29" s="21">
        <v>1</v>
      </c>
      <c r="I29" s="12">
        <v>0</v>
      </c>
    </row>
    <row r="30" spans="2:9">
      <c r="B30" s="17"/>
      <c r="D30" s="18"/>
      <c r="E30" s="19" t="s">
        <v>296</v>
      </c>
      <c r="F30" s="20"/>
      <c r="G30" s="14">
        <v>2</v>
      </c>
      <c r="I30" s="12">
        <v>0</v>
      </c>
    </row>
    <row r="31" spans="2:9">
      <c r="B31" s="17"/>
      <c r="D31" s="18"/>
      <c r="E31" s="19" t="s">
        <v>297</v>
      </c>
      <c r="F31" s="20"/>
      <c r="G31" s="21">
        <v>3</v>
      </c>
      <c r="I31" s="12">
        <v>0</v>
      </c>
    </row>
    <row r="32" spans="2:9">
      <c r="B32" s="17"/>
      <c r="D32" s="22"/>
      <c r="E32" s="19" t="s">
        <v>298</v>
      </c>
      <c r="F32" s="20"/>
      <c r="G32" s="14">
        <v>4</v>
      </c>
      <c r="I32" s="12">
        <v>0</v>
      </c>
    </row>
    <row r="33" spans="2:9">
      <c r="B33" s="17"/>
      <c r="D33" s="22"/>
      <c r="E33" s="19" t="s">
        <v>299</v>
      </c>
      <c r="F33" s="20"/>
      <c r="G33" s="21">
        <v>5</v>
      </c>
      <c r="I33" s="12">
        <v>0</v>
      </c>
    </row>
    <row r="34" spans="2:9">
      <c r="B34" s="17"/>
      <c r="D34" s="22"/>
      <c r="E34" s="19" t="s">
        <v>300</v>
      </c>
      <c r="F34" s="20"/>
      <c r="G34" s="14">
        <v>6</v>
      </c>
      <c r="I34" s="12">
        <v>0</v>
      </c>
    </row>
    <row r="35" spans="2:9">
      <c r="B35" s="17"/>
      <c r="D35" s="22"/>
      <c r="E35" s="19" t="s">
        <v>301</v>
      </c>
      <c r="F35" s="20"/>
      <c r="G35" s="21">
        <v>7</v>
      </c>
      <c r="I35" s="12">
        <v>0</v>
      </c>
    </row>
    <row r="36" spans="2:9">
      <c r="B36" s="17"/>
      <c r="D36" s="22"/>
      <c r="E36" s="19" t="s">
        <v>302</v>
      </c>
      <c r="F36" s="20"/>
      <c r="G36" s="14">
        <v>8</v>
      </c>
      <c r="I36" s="12">
        <v>0</v>
      </c>
    </row>
    <row r="37" spans="2:9">
      <c r="B37" s="17"/>
      <c r="D37" s="22"/>
      <c r="E37" s="19" t="s">
        <v>303</v>
      </c>
      <c r="F37" s="20"/>
      <c r="G37" s="21">
        <v>9</v>
      </c>
      <c r="I37" s="12">
        <v>0</v>
      </c>
    </row>
    <row r="38" spans="2:9">
      <c r="B38" s="17"/>
      <c r="D38" s="24"/>
      <c r="E38" s="19" t="s">
        <v>304</v>
      </c>
      <c r="F38" s="20"/>
      <c r="G38" s="14">
        <v>10</v>
      </c>
      <c r="I38" s="12">
        <v>0</v>
      </c>
    </row>
    <row r="39" spans="2:9">
      <c r="B39" s="17"/>
      <c r="D39" s="11"/>
      <c r="E39" s="19" t="s">
        <v>305</v>
      </c>
      <c r="F39" s="20"/>
      <c r="G39" s="21">
        <v>11</v>
      </c>
      <c r="I39" s="12">
        <v>0</v>
      </c>
    </row>
    <row r="40" spans="2:9">
      <c r="B40" s="17"/>
      <c r="D40" s="30"/>
      <c r="E40" s="31"/>
      <c r="F40" s="20"/>
      <c r="G40" s="26"/>
      <c r="I40" s="27"/>
    </row>
    <row r="41" spans="2:9">
      <c r="B41" s="28">
        <v>17</v>
      </c>
      <c r="C41" s="10" t="s">
        <v>306</v>
      </c>
      <c r="D41" s="32"/>
      <c r="E41" s="12"/>
      <c r="G41" s="14"/>
      <c r="I41" s="16">
        <f>SUM(I42:I49)</f>
        <v>14</v>
      </c>
    </row>
    <row r="42" spans="2:9">
      <c r="B42" s="17"/>
      <c r="C42" s="33"/>
      <c r="D42" s="18"/>
      <c r="E42" s="19" t="s">
        <v>307</v>
      </c>
      <c r="F42" s="20"/>
      <c r="G42" s="21">
        <v>1</v>
      </c>
      <c r="I42" s="12">
        <v>0</v>
      </c>
    </row>
    <row r="43" spans="2:9">
      <c r="B43" s="17"/>
      <c r="D43" s="22"/>
      <c r="E43" s="19" t="s">
        <v>308</v>
      </c>
      <c r="F43" s="20"/>
      <c r="G43" s="14">
        <v>2</v>
      </c>
      <c r="I43" s="12">
        <v>0</v>
      </c>
    </row>
    <row r="44" spans="2:9">
      <c r="B44" s="17"/>
      <c r="D44" s="22"/>
      <c r="E44" s="19" t="s">
        <v>309</v>
      </c>
      <c r="F44" s="20"/>
      <c r="G44" s="21">
        <v>3</v>
      </c>
      <c r="I44" s="12">
        <v>2</v>
      </c>
    </row>
    <row r="45" spans="2:9">
      <c r="B45" s="17"/>
      <c r="D45" s="22"/>
      <c r="E45" s="19" t="s">
        <v>310</v>
      </c>
      <c r="F45" s="20"/>
      <c r="G45" s="14">
        <v>4</v>
      </c>
      <c r="I45" s="12">
        <v>5</v>
      </c>
    </row>
    <row r="46" spans="2:9">
      <c r="B46" s="17"/>
      <c r="D46" s="22"/>
      <c r="E46" s="19" t="s">
        <v>311</v>
      </c>
      <c r="F46" s="20"/>
      <c r="G46" s="21">
        <v>5</v>
      </c>
      <c r="I46" s="12">
        <v>4</v>
      </c>
    </row>
    <row r="47" spans="2:9">
      <c r="B47" s="17"/>
      <c r="D47" s="22"/>
      <c r="E47" s="19" t="s">
        <v>312</v>
      </c>
      <c r="F47" s="20"/>
      <c r="G47" s="14">
        <v>6</v>
      </c>
      <c r="I47" s="12">
        <v>1</v>
      </c>
    </row>
    <row r="48" spans="2:9">
      <c r="B48" s="17"/>
      <c r="D48" s="24"/>
      <c r="E48" s="19" t="s">
        <v>313</v>
      </c>
      <c r="F48" s="20"/>
      <c r="G48" s="21">
        <v>7</v>
      </c>
      <c r="I48" s="12">
        <v>2</v>
      </c>
    </row>
    <row r="49" spans="2:9">
      <c r="B49" s="34"/>
      <c r="C49" s="35"/>
      <c r="D49" s="11"/>
      <c r="E49" s="19" t="s">
        <v>314</v>
      </c>
      <c r="F49" s="36"/>
      <c r="G49" s="14">
        <v>8</v>
      </c>
      <c r="H49" s="35"/>
      <c r="I49" s="12">
        <v>0</v>
      </c>
    </row>
    <row r="50" spans="2:9">
      <c r="F50"/>
    </row>
    <row r="51" spans="2:9">
      <c r="B51" s="37"/>
      <c r="D51" s="30"/>
      <c r="E51" s="31"/>
      <c r="F51" s="20"/>
      <c r="G51" s="92" t="s">
        <v>138</v>
      </c>
      <c r="H51" s="92"/>
      <c r="I51" s="38">
        <f>SUM(I4,I12,I28,I41)</f>
        <v>21</v>
      </c>
    </row>
    <row r="52" spans="2:9">
      <c r="B52" s="39"/>
      <c r="D52" s="30"/>
      <c r="E52" s="31"/>
      <c r="F52" s="20"/>
    </row>
    <row r="53" spans="2:9">
      <c r="D53" s="30"/>
      <c r="E53" s="31"/>
      <c r="F53" s="20"/>
    </row>
  </sheetData>
  <mergeCells count="2">
    <mergeCell ref="B3:D3"/>
    <mergeCell ref="G51:H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ZONE ND</vt:lpstr>
      <vt:lpstr>ZONE SD</vt:lpstr>
      <vt:lpstr>ZONE CE </vt:lpstr>
      <vt:lpstr>ZONE OT</vt:lpstr>
      <vt:lpstr>ZONE 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Lumuna</dc:creator>
  <cp:lastModifiedBy>FemminTech</cp:lastModifiedBy>
  <dcterms:created xsi:type="dcterms:W3CDTF">2023-01-17T15:48:00Z</dcterms:created>
  <dcterms:modified xsi:type="dcterms:W3CDTF">2026-07-01T13:18:17Z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569660ACD8764AB1B4182E3D41D3B162_12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